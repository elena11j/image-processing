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na.Justo\OneDrive - Shell\Documents\Repos\Image Processing Project\vba\"/>
    </mc:Choice>
  </mc:AlternateContent>
  <xr:revisionPtr revIDLastSave="0" documentId="13_ncr:1_{6A8C144D-FC61-4ABD-83CC-E4AC924C78FB}" xr6:coauthVersionLast="47" xr6:coauthVersionMax="47" xr10:uidLastSave="{00000000-0000-0000-0000-000000000000}"/>
  <bookViews>
    <workbookView xWindow="19090" yWindow="-110" windowWidth="25820" windowHeight="13900" xr2:uid="{00000000-000D-0000-FFFF-FFFF00000000}"/>
  </bookViews>
  <sheets>
    <sheet name="Sheet1" sheetId="1" r:id="rId1"/>
    <sheet name="Textsplit" sheetId="3" r:id="rId2"/>
    <sheet name="Ready to paste" sheetId="4" r:id="rId3"/>
  </sheets>
  <externalReferences>
    <externalReference r:id="rId4"/>
  </externalReferences>
  <definedNames>
    <definedName name="_xlnm._FilterDatabase" localSheetId="0" hidden="1">Sheet1!$B$2:$D$201</definedName>
    <definedName name="brand_full_list">_xlfn.ANCHORARRAY([1]Lookup!$L$2)</definedName>
    <definedName name="brand_unique_list">_xlfn.ANCHORARRAY([1]Lookup!$N$2)</definedName>
    <definedName name="exten">Sheet1!$J$2</definedName>
    <definedName name="model_full_list">_xlfn.ANCHORARRAY([1]Lookup!$M$2)</definedName>
    <definedName name="model_select_list1">INDEX(model_full_list,MATCH([1]ESC!$E1,brand_full_list,0)):INDEX(model_full_list,MATCH([1]ESC!$E1,brand_full_list,0)+SUM(--(brand_full_list=[1]ESC!$E1))-1)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 a="1"/>
  <c r="C3" i="3" s="1"/>
  <c r="D3" i="3" a="1"/>
  <c r="D3" i="3" s="1"/>
  <c r="C4" i="3" a="1"/>
  <c r="C4" i="3" s="1"/>
  <c r="D4" i="3" a="1"/>
  <c r="D4" i="3" s="1"/>
  <c r="C5" i="3" a="1"/>
  <c r="C5" i="3" s="1"/>
  <c r="D5" i="3" a="1"/>
  <c r="D5" i="3" s="1"/>
  <c r="C6" i="3" a="1"/>
  <c r="C6" i="3"/>
  <c r="D6" i="3" a="1"/>
  <c r="D6" i="3"/>
  <c r="C7" i="3" a="1"/>
  <c r="C7" i="3" s="1"/>
  <c r="D7" i="3" a="1"/>
  <c r="D7" i="3" s="1"/>
  <c r="C8" i="3" a="1"/>
  <c r="C8" i="3" s="1"/>
  <c r="D8" i="3" a="1"/>
  <c r="D8" i="3" s="1"/>
  <c r="C9" i="3" a="1"/>
  <c r="C9" i="3" s="1"/>
  <c r="D9" i="3" a="1"/>
  <c r="D9" i="3" s="1"/>
  <c r="C10" i="3" a="1"/>
  <c r="C10" i="3" s="1"/>
  <c r="D10" i="3" a="1"/>
  <c r="D10" i="3" s="1"/>
  <c r="C11" i="3" a="1"/>
  <c r="C11" i="3"/>
  <c r="D11" i="3" a="1"/>
  <c r="D11" i="3"/>
  <c r="C12" i="3" a="1"/>
  <c r="C12" i="3" s="1"/>
  <c r="D12" i="3" a="1"/>
  <c r="D12" i="3"/>
  <c r="C13" i="3" a="1"/>
  <c r="C13" i="3" s="1"/>
  <c r="D13" i="3" a="1"/>
  <c r="D13" i="3" s="1"/>
  <c r="C14" i="3" a="1"/>
  <c r="C14" i="3"/>
  <c r="D14" i="3" a="1"/>
  <c r="D14" i="3" s="1"/>
  <c r="C15" i="3" a="1"/>
  <c r="C15" i="3" s="1"/>
  <c r="D15" i="3" a="1"/>
  <c r="D15" i="3" s="1"/>
  <c r="C16" i="3" a="1"/>
  <c r="C16" i="3" s="1"/>
  <c r="D16" i="3" a="1"/>
  <c r="D16" i="3" s="1"/>
  <c r="C17" i="3" a="1"/>
  <c r="C17" i="3"/>
  <c r="D17" i="3" a="1"/>
  <c r="D17" i="3"/>
  <c r="C18" i="3" a="1"/>
  <c r="C18" i="3" s="1"/>
  <c r="D18" i="3" a="1"/>
  <c r="D18" i="3" s="1"/>
  <c r="C19" i="3" a="1"/>
  <c r="C19" i="3"/>
  <c r="D19" i="3" a="1"/>
  <c r="D19" i="3" s="1"/>
  <c r="C20" i="3" a="1"/>
  <c r="C20" i="3" s="1"/>
  <c r="D20" i="3" a="1"/>
  <c r="D20" i="3"/>
  <c r="C21" i="3" a="1"/>
  <c r="C21" i="3" s="1"/>
  <c r="D21" i="3" a="1"/>
  <c r="D21" i="3" s="1"/>
  <c r="C22" i="3" a="1"/>
  <c r="C22" i="3" s="1"/>
  <c r="D22" i="3" a="1"/>
  <c r="D22" i="3" s="1"/>
  <c r="C23" i="3" a="1"/>
  <c r="C23" i="3" s="1"/>
  <c r="D23" i="3" a="1"/>
  <c r="D23" i="3" s="1"/>
  <c r="C24" i="3" a="1"/>
  <c r="C24" i="3" s="1"/>
  <c r="D24" i="3" a="1"/>
  <c r="D24" i="3" s="1"/>
  <c r="C25" i="3" a="1"/>
  <c r="C25" i="3"/>
  <c r="D25" i="3" a="1"/>
  <c r="D25" i="3"/>
  <c r="C26" i="3" a="1"/>
  <c r="C26" i="3"/>
  <c r="D26" i="3" a="1"/>
  <c r="D26" i="3" s="1"/>
  <c r="C27" i="3" a="1"/>
  <c r="C27" i="3" s="1"/>
  <c r="D27" i="3" a="1"/>
  <c r="D27" i="3" s="1"/>
  <c r="C28" i="3" a="1"/>
  <c r="C28" i="3" s="1"/>
  <c r="D28" i="3" a="1"/>
  <c r="D28" i="3"/>
  <c r="C29" i="3" a="1"/>
  <c r="C29" i="3"/>
  <c r="D29" i="3" a="1"/>
  <c r="D29" i="3" s="1"/>
  <c r="C30" i="3" a="1"/>
  <c r="C30" i="3" s="1"/>
  <c r="D30" i="3" a="1"/>
  <c r="D30" i="3"/>
  <c r="C31" i="3" a="1"/>
  <c r="C31" i="3" s="1"/>
  <c r="D31" i="3" a="1"/>
  <c r="D31" i="3" s="1"/>
  <c r="C32" i="3" a="1"/>
  <c r="C32" i="3" s="1"/>
  <c r="D32" i="3" a="1"/>
  <c r="D32" i="3" s="1"/>
  <c r="C33" i="3" a="1"/>
  <c r="C33" i="3" s="1"/>
  <c r="D33" i="3" a="1"/>
  <c r="D33" i="3"/>
  <c r="C34" i="3" a="1"/>
  <c r="C34" i="3" s="1"/>
  <c r="D34" i="3" a="1"/>
  <c r="D34" i="3"/>
  <c r="C35" i="3" a="1"/>
  <c r="C35" i="3"/>
  <c r="D35" i="3" a="1"/>
  <c r="D35" i="3"/>
  <c r="C36" i="3" a="1"/>
  <c r="C36" i="3" s="1"/>
  <c r="D36" i="3" a="1"/>
  <c r="D36" i="3"/>
  <c r="C37" i="3" a="1"/>
  <c r="C37" i="3" s="1"/>
  <c r="D37" i="3" a="1"/>
  <c r="D37" i="3" s="1"/>
  <c r="C38" i="3" a="1"/>
  <c r="C38" i="3" s="1"/>
  <c r="D38" i="3" a="1"/>
  <c r="D38" i="3"/>
  <c r="C39" i="3" a="1"/>
  <c r="C39" i="3" s="1"/>
  <c r="D39" i="3" a="1"/>
  <c r="D39" i="3" s="1"/>
  <c r="C40" i="3" a="1"/>
  <c r="C40" i="3" s="1"/>
  <c r="D40" i="3" a="1"/>
  <c r="D40" i="3"/>
  <c r="C41" i="3" a="1"/>
  <c r="C41" i="3" s="1"/>
  <c r="D41" i="3" a="1"/>
  <c r="D41" i="3" s="1"/>
  <c r="C42" i="3" a="1"/>
  <c r="C42" i="3" s="1"/>
  <c r="D42" i="3" a="1"/>
  <c r="D42" i="3" s="1"/>
  <c r="C43" i="3" a="1"/>
  <c r="C43" i="3" s="1"/>
  <c r="D43" i="3" a="1"/>
  <c r="D43" i="3"/>
  <c r="C44" i="3" a="1"/>
  <c r="C44" i="3" s="1"/>
  <c r="D44" i="3" a="1"/>
  <c r="D44" i="3"/>
  <c r="C45" i="3" a="1"/>
  <c r="C45" i="3" s="1"/>
  <c r="D45" i="3" a="1"/>
  <c r="D45" i="3" s="1"/>
  <c r="C46" i="3" a="1"/>
  <c r="C46" i="3"/>
  <c r="D46" i="3" a="1"/>
  <c r="D46" i="3" s="1"/>
  <c r="C47" i="3" a="1"/>
  <c r="C47" i="3" s="1"/>
  <c r="D47" i="3" a="1"/>
  <c r="D47" i="3"/>
  <c r="C48" i="3" a="1"/>
  <c r="C48" i="3" s="1"/>
  <c r="D48" i="3" a="1"/>
  <c r="D48" i="3" s="1"/>
  <c r="C49" i="3" a="1"/>
  <c r="C49" i="3" s="1"/>
  <c r="D49" i="3" a="1"/>
  <c r="D49" i="3" s="1"/>
  <c r="C50" i="3" a="1"/>
  <c r="C50" i="3" s="1"/>
  <c r="D50" i="3" a="1"/>
  <c r="D50" i="3" s="1"/>
  <c r="D2" i="3" a="1"/>
  <c r="D2" i="3"/>
  <c r="C2" i="3" a="1"/>
  <c r="C2" i="3" s="1"/>
  <c r="B2" i="3" a="1"/>
  <c r="B2" i="3" s="1"/>
  <c r="B3" i="3" a="1"/>
  <c r="B3" i="3" s="1"/>
  <c r="B4" i="3" a="1"/>
  <c r="B4" i="3"/>
  <c r="B5" i="3" a="1"/>
  <c r="B5" i="3" s="1"/>
  <c r="B6" i="3" a="1"/>
  <c r="B6" i="3" s="1"/>
  <c r="B7" i="3" a="1"/>
  <c r="B7" i="3"/>
  <c r="B8" i="3" a="1"/>
  <c r="B8" i="3"/>
  <c r="B9" i="3" a="1"/>
  <c r="B9" i="3" s="1"/>
  <c r="B10" i="3" a="1"/>
  <c r="B10" i="3"/>
  <c r="B11" i="3" a="1"/>
  <c r="B11" i="3" s="1"/>
  <c r="B12" i="3" a="1"/>
  <c r="B12" i="3"/>
  <c r="B13" i="3" a="1"/>
  <c r="B13" i="3"/>
  <c r="B14" i="3" a="1"/>
  <c r="B14" i="3" s="1"/>
  <c r="B15" i="3" a="1"/>
  <c r="B15" i="3"/>
  <c r="B16" i="3" a="1"/>
  <c r="B16" i="3" s="1"/>
  <c r="B17" i="3" a="1"/>
  <c r="B17" i="3"/>
  <c r="B18" i="3" a="1"/>
  <c r="B18" i="3" s="1"/>
  <c r="B19" i="3" a="1"/>
  <c r="B19" i="3" s="1"/>
  <c r="B20" i="3" a="1"/>
  <c r="B20" i="3"/>
  <c r="B21" i="3" a="1"/>
  <c r="B21" i="3"/>
  <c r="B22" i="3" a="1"/>
  <c r="B22" i="3" s="1"/>
  <c r="B23" i="3" a="1"/>
  <c r="B23" i="3"/>
  <c r="B24" i="3" a="1"/>
  <c r="B24" i="3"/>
  <c r="B25" i="3" a="1"/>
  <c r="B25" i="3" s="1"/>
  <c r="B26" i="3" a="1"/>
  <c r="B26" i="3"/>
  <c r="B27" i="3" a="1"/>
  <c r="B27" i="3" s="1"/>
  <c r="B28" i="3" a="1"/>
  <c r="B28" i="3"/>
  <c r="B29" i="3" a="1"/>
  <c r="B29" i="3"/>
  <c r="B30" i="3" a="1"/>
  <c r="B30" i="3" s="1"/>
  <c r="B31" i="3" a="1"/>
  <c r="B31" i="3"/>
  <c r="B32" i="3" a="1"/>
  <c r="B32" i="3"/>
  <c r="B33" i="3" a="1"/>
  <c r="B33" i="3"/>
  <c r="B34" i="3" a="1"/>
  <c r="B34" i="3" s="1"/>
  <c r="B35" i="3" a="1"/>
  <c r="B35" i="3" s="1"/>
  <c r="B36" i="3" a="1"/>
  <c r="B36" i="3"/>
  <c r="B37" i="3" a="1"/>
  <c r="B37" i="3"/>
  <c r="B38" i="3" a="1"/>
  <c r="B38" i="3" s="1"/>
  <c r="B39" i="3" a="1"/>
  <c r="B39" i="3" s="1"/>
  <c r="B40" i="3" a="1"/>
  <c r="B40" i="3"/>
  <c r="B41" i="3" a="1"/>
  <c r="B41" i="3"/>
  <c r="B42" i="3" a="1"/>
  <c r="B42" i="3"/>
  <c r="B43" i="3" a="1"/>
  <c r="B43" i="3" s="1"/>
  <c r="B44" i="3" a="1"/>
  <c r="B44" i="3" s="1"/>
  <c r="B45" i="3" a="1"/>
  <c r="B45" i="3" s="1"/>
  <c r="B46" i="3" a="1"/>
  <c r="B46" i="3" s="1"/>
  <c r="B47" i="3" a="1"/>
  <c r="B47" i="3"/>
  <c r="B48" i="3" a="1"/>
  <c r="B48" i="3" s="1"/>
  <c r="B49" i="3" a="1"/>
  <c r="B49" i="3" s="1"/>
  <c r="B50" i="3" a="1"/>
  <c r="B50" i="3"/>
  <c r="E31" i="1" l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E3" i="1"/>
  <c r="F14" i="1"/>
  <c r="E36" i="1"/>
  <c r="F15" i="1"/>
  <c r="E17" i="1"/>
  <c r="F16" i="1"/>
  <c r="E37" i="1"/>
  <c r="F17" i="1"/>
  <c r="E38" i="1"/>
  <c r="F18" i="1"/>
  <c r="E39" i="1"/>
  <c r="F19" i="1"/>
  <c r="E40" i="1"/>
  <c r="F20" i="1"/>
  <c r="E5" i="1"/>
  <c r="F21" i="1"/>
  <c r="E41" i="1"/>
  <c r="F22" i="1"/>
  <c r="E19" i="1"/>
  <c r="F23" i="1"/>
  <c r="E42" i="1"/>
  <c r="F24" i="1"/>
  <c r="E43" i="1"/>
  <c r="F25" i="1"/>
  <c r="E44" i="1"/>
  <c r="F26" i="1"/>
  <c r="E11" i="1"/>
  <c r="F27" i="1"/>
  <c r="E100" i="1"/>
  <c r="F28" i="1"/>
  <c r="E45" i="1"/>
  <c r="F29" i="1"/>
  <c r="E46" i="1"/>
  <c r="F30" i="1"/>
  <c r="E47" i="1"/>
  <c r="F31" i="1"/>
  <c r="E48" i="1"/>
  <c r="F32" i="1"/>
  <c r="E49" i="1"/>
  <c r="F33" i="1"/>
  <c r="E20" i="1"/>
  <c r="F34" i="1"/>
  <c r="E6" i="1"/>
  <c r="F35" i="1"/>
  <c r="E50" i="1"/>
  <c r="F36" i="1"/>
  <c r="E51" i="1"/>
  <c r="F37" i="1"/>
  <c r="E7" i="1"/>
  <c r="F38" i="1"/>
  <c r="E8" i="1"/>
  <c r="F39" i="1"/>
  <c r="E101" i="1"/>
  <c r="F40" i="1"/>
  <c r="E12" i="1"/>
  <c r="F41" i="1"/>
  <c r="E9" i="1"/>
  <c r="F42" i="1"/>
  <c r="E10" i="1"/>
  <c r="F43" i="1"/>
  <c r="E52" i="1"/>
  <c r="F44" i="1"/>
  <c r="E21" i="1"/>
  <c r="F45" i="1"/>
  <c r="E53" i="1"/>
  <c r="F46" i="1"/>
  <c r="E54" i="1"/>
  <c r="F47" i="1"/>
  <c r="E55" i="1"/>
  <c r="F48" i="1"/>
  <c r="E56" i="1"/>
  <c r="F49" i="1"/>
  <c r="E57" i="1"/>
  <c r="F50" i="1"/>
  <c r="E58" i="1"/>
  <c r="F51" i="1"/>
  <c r="E102" i="1"/>
  <c r="F52" i="1"/>
  <c r="E59" i="1"/>
  <c r="F53" i="1"/>
  <c r="E13" i="1"/>
  <c r="F54" i="1"/>
  <c r="E60" i="1"/>
  <c r="F55" i="1"/>
  <c r="E22" i="1"/>
  <c r="F56" i="1"/>
  <c r="E61" i="1"/>
  <c r="F57" i="1"/>
  <c r="E62" i="1"/>
  <c r="F58" i="1"/>
  <c r="E63" i="1"/>
  <c r="F59" i="1"/>
  <c r="E64" i="1"/>
  <c r="F60" i="1"/>
  <c r="E65" i="1"/>
  <c r="F61" i="1"/>
  <c r="E66" i="1"/>
  <c r="F62" i="1"/>
  <c r="E67" i="1"/>
  <c r="F63" i="1"/>
  <c r="E103" i="1"/>
  <c r="F64" i="1"/>
  <c r="E68" i="1"/>
  <c r="F65" i="1"/>
  <c r="E69" i="1"/>
  <c r="F66" i="1"/>
  <c r="E23" i="1"/>
  <c r="F67" i="1"/>
  <c r="E14" i="1"/>
  <c r="F68" i="1"/>
  <c r="E70" i="1"/>
  <c r="F69" i="1"/>
  <c r="E71" i="1"/>
  <c r="F70" i="1"/>
  <c r="E72" i="1"/>
  <c r="F71" i="1"/>
  <c r="E73" i="1"/>
  <c r="F72" i="1"/>
  <c r="E74" i="1"/>
  <c r="F73" i="1"/>
  <c r="E24" i="1"/>
  <c r="F74" i="1"/>
  <c r="E25" i="1"/>
  <c r="F75" i="1"/>
  <c r="E75" i="1"/>
  <c r="F76" i="1"/>
  <c r="E76" i="1"/>
  <c r="F77" i="1"/>
  <c r="E104" i="1"/>
  <c r="F78" i="1"/>
  <c r="E18" i="1"/>
  <c r="F79" i="1"/>
  <c r="E77" i="1"/>
  <c r="F80" i="1"/>
  <c r="E78" i="1"/>
  <c r="F81" i="1"/>
  <c r="E79" i="1"/>
  <c r="F82" i="1"/>
  <c r="E15" i="1"/>
  <c r="F83" i="1"/>
  <c r="E80" i="1"/>
  <c r="F84" i="1"/>
  <c r="E81" i="1"/>
  <c r="F85" i="1"/>
  <c r="E82" i="1"/>
  <c r="F86" i="1"/>
  <c r="E83" i="1"/>
  <c r="F87" i="1"/>
  <c r="E84" i="1"/>
  <c r="F88" i="1"/>
  <c r="E85" i="1"/>
  <c r="F89" i="1"/>
  <c r="E86" i="1"/>
  <c r="F90" i="1"/>
  <c r="E87" i="1"/>
  <c r="F91" i="1"/>
  <c r="E88" i="1"/>
  <c r="F92" i="1"/>
  <c r="E89" i="1"/>
  <c r="F93" i="1"/>
  <c r="E16" i="1"/>
  <c r="F94" i="1"/>
  <c r="E90" i="1"/>
  <c r="F95" i="1"/>
  <c r="E91" i="1"/>
  <c r="F96" i="1"/>
  <c r="E92" i="1"/>
  <c r="F97" i="1"/>
  <c r="D92" i="1" s="1"/>
  <c r="E93" i="1"/>
  <c r="F98" i="1"/>
  <c r="D93" i="1" s="1"/>
  <c r="E94" i="1"/>
  <c r="F99" i="1"/>
  <c r="D94" i="1" s="1"/>
  <c r="E95" i="1"/>
  <c r="F100" i="1"/>
  <c r="E96" i="1"/>
  <c r="F101" i="1"/>
  <c r="E97" i="1"/>
  <c r="F102" i="1"/>
  <c r="E98" i="1"/>
  <c r="F103" i="1"/>
  <c r="E99" i="1"/>
  <c r="F104" i="1"/>
  <c r="E105" i="1"/>
  <c r="F105" i="1"/>
  <c r="D105" i="1" s="1"/>
  <c r="E106" i="1"/>
  <c r="F106" i="1"/>
  <c r="D106" i="1" s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F13" i="1"/>
  <c r="E32" i="1"/>
  <c r="F12" i="1"/>
  <c r="E26" i="1"/>
  <c r="F11" i="1"/>
  <c r="E4" i="1"/>
  <c r="F10" i="1"/>
  <c r="E30" i="1"/>
  <c r="F9" i="1"/>
  <c r="E28" i="1"/>
  <c r="F8" i="1"/>
  <c r="E27" i="1"/>
  <c r="F7" i="1"/>
  <c r="E29" i="1"/>
  <c r="F6" i="1"/>
  <c r="E34" i="1"/>
  <c r="F5" i="1"/>
  <c r="E33" i="1"/>
  <c r="F4" i="1"/>
  <c r="E35" i="1"/>
  <c r="F3" i="1"/>
  <c r="D87" i="1" l="1"/>
  <c r="D86" i="1"/>
  <c r="D85" i="1"/>
  <c r="D84" i="1"/>
  <c r="D79" i="1"/>
  <c r="D78" i="1"/>
  <c r="D77" i="1"/>
  <c r="D15" i="1"/>
  <c r="D104" i="1"/>
  <c r="D98" i="1"/>
  <c r="D97" i="1"/>
  <c r="D81" i="1"/>
  <c r="D90" i="1"/>
  <c r="D82" i="1"/>
  <c r="D96" i="1"/>
  <c r="D89" i="1"/>
  <c r="D16" i="1"/>
  <c r="D95" i="1"/>
  <c r="D80" i="1"/>
  <c r="D83" i="1"/>
  <c r="D88" i="1"/>
  <c r="D99" i="1"/>
  <c r="D91" i="1"/>
  <c r="D18" i="1"/>
  <c r="D76" i="1"/>
  <c r="D75" i="1"/>
  <c r="D68" i="1"/>
  <c r="D61" i="1"/>
  <c r="D58" i="1"/>
  <c r="D56" i="1"/>
  <c r="D49" i="1"/>
  <c r="D25" i="1"/>
  <c r="D69" i="1"/>
  <c r="D62" i="1"/>
  <c r="D71" i="1"/>
  <c r="D9" i="1"/>
  <c r="D44" i="1"/>
  <c r="D43" i="1"/>
  <c r="D37" i="1"/>
  <c r="D24" i="1"/>
  <c r="D23" i="1"/>
  <c r="D73" i="1"/>
  <c r="D13" i="1"/>
  <c r="D7" i="1"/>
  <c r="D46" i="1"/>
  <c r="D70" i="1"/>
  <c r="D64" i="1"/>
  <c r="D57" i="1"/>
  <c r="D20" i="1"/>
  <c r="D38" i="1"/>
  <c r="D74" i="1"/>
  <c r="D12" i="1"/>
  <c r="D103" i="1"/>
  <c r="D22" i="1"/>
  <c r="D55" i="1"/>
  <c r="D101" i="1"/>
  <c r="D48" i="1"/>
  <c r="D42" i="1"/>
  <c r="D72" i="1"/>
  <c r="D67" i="1"/>
  <c r="D60" i="1"/>
  <c r="D54" i="1"/>
  <c r="D8" i="1"/>
  <c r="D47" i="1"/>
  <c r="D19" i="1"/>
  <c r="D66" i="1"/>
  <c r="D53" i="1"/>
  <c r="D41" i="1"/>
  <c r="D65" i="1"/>
  <c r="D59" i="1"/>
  <c r="D21" i="1"/>
  <c r="D51" i="1"/>
  <c r="D45" i="1"/>
  <c r="D5" i="1"/>
  <c r="D14" i="1"/>
  <c r="D102" i="1"/>
  <c r="D52" i="1"/>
  <c r="D50" i="1"/>
  <c r="D100" i="1"/>
  <c r="D40" i="1"/>
  <c r="D63" i="1"/>
  <c r="D10" i="1"/>
  <c r="D6" i="1"/>
  <c r="D11" i="1"/>
  <c r="D39" i="1"/>
  <c r="D17" i="1"/>
  <c r="D36" i="1"/>
  <c r="D3" i="1"/>
  <c r="D35" i="1"/>
  <c r="D34" i="1"/>
  <c r="D31" i="1"/>
  <c r="D33" i="1"/>
  <c r="D28" i="1"/>
  <c r="D27" i="1"/>
  <c r="D30" i="1"/>
  <c r="D32" i="1"/>
  <c r="D4" i="1"/>
  <c r="D29" i="1"/>
  <c r="D2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<sst xmlns="http://schemas.openxmlformats.org/spreadsheetml/2006/main" count="252" uniqueCount="107">
  <si>
    <t>Image Name</t>
  </si>
  <si>
    <t>New Name with Extension</t>
  </si>
  <si>
    <t>Prefixes</t>
  </si>
  <si>
    <t>Extension</t>
  </si>
  <si>
    <t>New Name WITHOUT Extension</t>
  </si>
  <si>
    <t>Extention Type</t>
  </si>
  <si>
    <t xml:space="preserve">This tool can be used to change the file names in bulk based on custom criterion. The possibilities are endless!
</t>
  </si>
  <si>
    <t>Hussmann</t>
  </si>
  <si>
    <t>10 Hussmann MJPE216-4 AKAV000875 Nameplate.jpg</t>
  </si>
  <si>
    <t>11 Hussmann MJPE216-6 AKAW001852 Nameplate.jpg</t>
  </si>
  <si>
    <t>12 Hussmann MJPE216-4 AKAV000874 Nameplate.jpg</t>
  </si>
  <si>
    <t>13 Hussmann MJPE216-4 AKAV000873 Nameplate.jpg</t>
  </si>
  <si>
    <t>14 Hussmann MJPE216-6 AKAW001845 Nameplate.jpg</t>
  </si>
  <si>
    <t>15 Hussmann MJPE216-6 AKAW001848 Nameplate.jpg</t>
  </si>
  <si>
    <t>16 Hussmann RL-5 MY12N105365 Nameplate.jpg</t>
  </si>
  <si>
    <t>17 Hussmann RL-5 MY12N105367 Nameplate.jpg</t>
  </si>
  <si>
    <t>18 Hussmann RL-5 MY12N105366 Nameplate.jpg</t>
  </si>
  <si>
    <t>19 Hussmann RL-5 MY12N105370 Nameplate.jpg</t>
  </si>
  <si>
    <t>20 Hussmann RL-3 MY12M104576 Nameplate.jpg</t>
  </si>
  <si>
    <t>21 Hussmann MJPE216-4 AKAV000872 Nameplate.jpg</t>
  </si>
  <si>
    <t>22 Hussmann MJPE216-6 AKAW001846 Nameplate.jpg</t>
  </si>
  <si>
    <t>23 Hussmann MJPE216-6 AKAW001847 Nameplate.jpg</t>
  </si>
  <si>
    <t>24 Hussmann RL-5 MY12N105372 Nameplate.jpg</t>
  </si>
  <si>
    <t>25 Hussmann RL-5 MY12N105371 Nameplate.jpg</t>
  </si>
  <si>
    <t>26 Hussmann RL-5 MY12N105368 Nameplate.jpg</t>
  </si>
  <si>
    <t>27 Hussmann RL-4 MY12N105364 Nameplate.jpg</t>
  </si>
  <si>
    <t>28 Hussmann RL-4 MY12N10536 Nameplate.jpg</t>
  </si>
  <si>
    <t>29 Hussmann MPD216-3 SZ35026 Nameplate.jpg</t>
  </si>
  <si>
    <t>3 Hussmann MPD216-4 SZ35033 Nameplate.jpg</t>
  </si>
  <si>
    <t>30 Hussmann MPD216-6 SZ35045 Nameplate.jpg</t>
  </si>
  <si>
    <t>31 Hussmann MPD216-6 SZ35046 Nameplate.jpg</t>
  </si>
  <si>
    <t>32 Hussmann MPD216-6 SZ35047 Nameplate.jpg</t>
  </si>
  <si>
    <t>33 Hussmann MPD216-6 SZ35048 Nameplate.jpg</t>
  </si>
  <si>
    <t>34 Hussmann MPD216-6 SZ35037 Nameplate.jpg</t>
  </si>
  <si>
    <t>35 Hussmann MPD216-3 SZ35049 Nameplate.jpg</t>
  </si>
  <si>
    <t>36 Hussmann MPD216-3 SZ35050 Nameplate.jpg</t>
  </si>
  <si>
    <t>37 Hussmann MPD216-6 SZ35051 Nameplate.jpg</t>
  </si>
  <si>
    <t>38 Hussmann MPD216-3 SZ35039 Nameplate.jpg</t>
  </si>
  <si>
    <t>39 Hussmann RLA-2 SZ35052 Nameplate.jpg</t>
  </si>
  <si>
    <t>4 Hussmann MPD216-4 SZ35034 Nameplate.jpg</t>
  </si>
  <si>
    <t>40 Hussmann MPD216-4 SZ35053 Nameplate.jpg</t>
  </si>
  <si>
    <t>41 Hussmann MPD216-4 SZ35031 Nameplate.jpg</t>
  </si>
  <si>
    <t>42 Hussmann MPD216-6 SZ35032 Nameplate.jpg</t>
  </si>
  <si>
    <t>43 Hussmann MJPE216-3 SZ35040 Nameplate.jpg</t>
  </si>
  <si>
    <t>44 Hussmann MPD216-6 SZ35042 Nameplate.jpg</t>
  </si>
  <si>
    <t>45 Hussmann MPD216-4 SZ35041 Nameplate.jpg</t>
  </si>
  <si>
    <t>46 Hussmann MPD216-6 SZ35044 Nameplate.jpg</t>
  </si>
  <si>
    <t>47 Hussmann MPD216-4 SZ35043 Nameplate.jpg</t>
  </si>
  <si>
    <t>48 Hussmann DM13-4 SZ35030 Nameplate.jpg</t>
  </si>
  <si>
    <t>5 Hussmann MPD216-6 SZ35036 Nameplate.jpg</t>
  </si>
  <si>
    <t>50 Bromic UF1300SDF-NR ST22113A19GH141B032 Nameplate.jpg</t>
  </si>
  <si>
    <t>51 Bromic UF1300SDF-NR ST22113A19GH141B029 Nameplate.jpg</t>
  </si>
  <si>
    <t>6 Hussmann MPD216-6 SZ35038 Nameplate.jpg</t>
  </si>
  <si>
    <t>7 Hussmann MPD216-3 SZ35035 Nameplate.jpg</t>
  </si>
  <si>
    <t>8 Hussmann MJPE216-4 AKAV000871 Nameplate.jpg</t>
  </si>
  <si>
    <t>9 Hussmann MJPE216-4 AKAV000870 Namepalte.jpg</t>
  </si>
  <si>
    <t>Hussmann UNKNOWN SZ35027 Nameplate.jpg</t>
  </si>
  <si>
    <t>Hussmann UNKNOWN SZ35054 Nameplate.jpg</t>
  </si>
  <si>
    <t>File Name</t>
  </si>
  <si>
    <t>Brand</t>
  </si>
  <si>
    <t>Model</t>
  </si>
  <si>
    <t>Serial</t>
  </si>
  <si>
    <t>S001.1</t>
  </si>
  <si>
    <t>Invoice Number</t>
  </si>
  <si>
    <t>Invoice File</t>
  </si>
  <si>
    <t>S001.2</t>
  </si>
  <si>
    <t>S001.3</t>
  </si>
  <si>
    <t>S001.4</t>
  </si>
  <si>
    <t>S001.5</t>
  </si>
  <si>
    <t>Not on invoice</t>
  </si>
  <si>
    <t>N/A</t>
  </si>
  <si>
    <t>SZ35054</t>
  </si>
  <si>
    <t>CSD13</t>
  </si>
  <si>
    <t>MPD216-4</t>
  </si>
  <si>
    <t>SZ35033</t>
  </si>
  <si>
    <t>SZ35034</t>
  </si>
  <si>
    <t>MPD216-6</t>
  </si>
  <si>
    <t>SZ35036</t>
  </si>
  <si>
    <t>SZ35038</t>
  </si>
  <si>
    <t>MPD216-3</t>
  </si>
  <si>
    <t>SZ35035</t>
  </si>
  <si>
    <t>SZ35026</t>
  </si>
  <si>
    <t>SZ35045</t>
  </si>
  <si>
    <t>SZ35046</t>
  </si>
  <si>
    <t>SZ35047</t>
  </si>
  <si>
    <t>SZ35048</t>
  </si>
  <si>
    <t>SZ35037</t>
  </si>
  <si>
    <t>SZ35049</t>
  </si>
  <si>
    <t>SZ35050</t>
  </si>
  <si>
    <t>SZ35051</t>
  </si>
  <si>
    <t>SZ35039</t>
  </si>
  <si>
    <t>RLA-2</t>
  </si>
  <si>
    <t>SZ35052</t>
  </si>
  <si>
    <t>SZ35053</t>
  </si>
  <si>
    <t>SZ35031</t>
  </si>
  <si>
    <t>SZ35032</t>
  </si>
  <si>
    <t>MJPE216-3</t>
  </si>
  <si>
    <t>SZ35040</t>
  </si>
  <si>
    <t>SZ35042</t>
  </si>
  <si>
    <t>SZ35041</t>
  </si>
  <si>
    <t>SZ35044</t>
  </si>
  <si>
    <t>SZ35043</t>
  </si>
  <si>
    <t>DM13-4</t>
  </si>
  <si>
    <t>SZ35030</t>
  </si>
  <si>
    <t>Bulk File Renamer v2.1 - Template.xlsm</t>
  </si>
  <si>
    <t>fileRenamer.bas</t>
  </si>
  <si>
    <t>listFile.bas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</si>
</sst>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sz val="10"/>
      <color rgb="FF111111"/>
      <name val="Arial Unicode MS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DCDB"/>
        <bgColor indexed="64"/>
      </patternFill>
    </fill>
    <fill>
      <patternFill patternType="solid">
        <fgColor rgb="FFEAF4D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1" xfId="0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0" fillId="0" borderId="10" xfId="0" applyBorder="1"/>
    <xf numFmtId="0" fontId="0" fillId="0" borderId="11" xfId="0" applyBorder="1"/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2</xdr:row>
          <xdr:rowOff>184150</xdr:rowOff>
        </xdr:from>
        <xdr:to>
          <xdr:col>9</xdr:col>
          <xdr:colOff>603250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641350</xdr:colOff>
          <xdr:row>5</xdr:row>
          <xdr:rowOff>114300</xdr:rowOff>
        </xdr:from>
        <xdr:to>
          <xdr:col>9</xdr:col>
          <xdr:colOff>590550</xdr:colOff>
          <xdr:row>7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u001-sp.shell.com/sites/SPO002200/Clients/Coles/04%20ESC/OP025/OP025.00325%20Coles%207556%20Penrith%20Westfield%20New%20Build%20RDCs/E002%20RDC%20ESC%20and%20PDRCs%20Tool%20V7.0.xlsm" TargetMode="External"/><Relationship Id="rId1" Type="http://schemas.openxmlformats.org/officeDocument/2006/relationships/externalLinkPath" Target="https://eu001-sp.shell.com/sites/SPO002200/Clients/Coles/04%20ESC/OP025/OP025.00325%20Coles%207556%20Penrith%20Westfield%20New%20Build%20RDCs/E002%20RDC%20ESC%20and%20PDRCs%20Tool%20V7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 Details"/>
      <sheetName val="Project Checklist"/>
      <sheetName val="ESC"/>
      <sheetName val="Mar 2020"/>
      <sheetName val="PDRS"/>
      <sheetName val="Feb 2022"/>
      <sheetName val="PDRS Lookup"/>
      <sheetName val="Gems Registry"/>
      <sheetName val="ESCs Clause 6.8 Input"/>
      <sheetName val="PRCs Clause 6.8 Input"/>
      <sheetName val="POW"/>
      <sheetName val="Lookup"/>
      <sheetName val="Attributes"/>
      <sheetName val="Postcod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L2" t="str">
            <v>Adande</v>
          </cell>
          <cell r="M2" t="str">
            <v>VCC R2</v>
          </cell>
          <cell r="N2" t="str">
            <v>Adande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U202"/>
  <sheetViews>
    <sheetView showGridLines="0" tabSelected="1" zoomScale="80" zoomScaleNormal="80" workbookViewId="0">
      <selection activeCell="L1" sqref="L1"/>
    </sheetView>
  </sheetViews>
  <sheetFormatPr defaultRowHeight="14.5"/>
  <cols>
    <col min="2" max="2" width="58.81640625" bestFit="1" customWidth="1"/>
    <col min="3" max="3" width="30.26953125" customWidth="1"/>
    <col min="4" max="4" width="17.81640625" customWidth="1"/>
    <col min="5" max="5" width="20.08984375" customWidth="1"/>
    <col min="6" max="6" width="17.1796875" customWidth="1"/>
    <col min="7" max="7" width="9.7265625" customWidth="1"/>
    <col min="16" max="16" width="58.453125" bestFit="1" customWidth="1"/>
    <col min="17" max="17" width="11.6328125" bestFit="1" customWidth="1"/>
  </cols>
  <sheetData>
    <row r="2" spans="2:21">
      <c r="B2" s="2" t="s">
        <v>0</v>
      </c>
      <c r="C2" s="2" t="s">
        <v>4</v>
      </c>
      <c r="D2" t="s">
        <v>1</v>
      </c>
      <c r="E2" t="s">
        <v>2</v>
      </c>
      <c r="F2" t="s">
        <v>3</v>
      </c>
      <c r="H2" s="4" t="s">
        <v>5</v>
      </c>
      <c r="I2" s="5"/>
      <c r="J2" s="6"/>
      <c r="N2" s="13" t="s">
        <v>6</v>
      </c>
      <c r="O2" s="14"/>
      <c r="P2" s="14"/>
      <c r="Q2" s="14"/>
      <c r="R2" s="14"/>
      <c r="S2" s="14"/>
      <c r="T2" s="14"/>
      <c r="U2" s="15"/>
    </row>
    <row r="3" spans="2:21">
      <c r="B3" s="1" t="s">
        <v>104</v>
      </c>
      <c r="C3" s="3"/>
      <c r="D3" t="str">
        <f>IFERROR(IF(B3="","",C3&amp;"."&amp;F3),B3)</f>
        <v>.xlsm</v>
      </c>
      <c r="E3" t="str">
        <f>IFERROR(_xlfn.NUMBERVALUE(LEFT(B3,SEARCH(" ",B3,1)-1)),"")</f>
        <v/>
      </c>
      <c r="F3" t="str">
        <f>IF(B3="","",IF(ISERROR(FIND(".",B3)),B3,RIGHT(B3,LEN(B3)-FIND("~",SUBSTITUTE(B3,".","~",LEN(B3)-LEN(SUBSTITUTE(B3,".","")))))))</f>
        <v>xlsm</v>
      </c>
      <c r="N3" s="16"/>
      <c r="O3" s="17"/>
      <c r="P3" s="17"/>
      <c r="Q3" s="17"/>
      <c r="R3" s="17"/>
      <c r="S3" s="17"/>
      <c r="T3" s="17"/>
      <c r="U3" s="18"/>
    </row>
    <row r="4" spans="2:21">
      <c r="B4" s="1" t="s">
        <v>105</v>
      </c>
      <c r="C4" s="3"/>
      <c r="D4" t="str">
        <f>IFERROR(IF(B4="","",C4&amp;"."&amp;F4),B4)</f>
        <v>.bas</v>
      </c>
      <c r="E4" t="str">
        <f>IFERROR(_xlfn.NUMBERVALUE(LEFT(B4,SEARCH(" ",B4,1)-1)),"")</f>
        <v/>
      </c>
      <c r="F4" t="str">
        <f t="shared" ref="F4:F14" si="0">IF(B4="","",IF(ISERROR(FIND(".",B4)),B4,RIGHT(B4,LEN(B4)-FIND("~",SUBSTITUTE(B4,".","~",LEN(B4)-LEN(SUBSTITUTE(B4,".","")))))))</f>
        <v>bas</v>
      </c>
      <c r="N4" s="16"/>
      <c r="O4" s="17"/>
      <c r="P4" s="17"/>
      <c r="Q4" s="17"/>
      <c r="R4" s="17"/>
      <c r="S4" s="17"/>
      <c r="T4" s="17"/>
      <c r="U4" s="18"/>
    </row>
    <row r="5" spans="2:21">
      <c r="B5" s="1" t="s">
        <v>106</v>
      </c>
      <c r="C5" s="3"/>
      <c r="D5" t="str">
        <f>IFERROR(IF(B5="","",C5&amp;"."&amp;F5),B5)</f>
        <v>.bas</v>
      </c>
      <c r="E5" t="str">
        <f>IFERROR(_xlfn.NUMBERVALUE(LEFT(B5,SEARCH(" ",B5,1)-1)),"")</f>
        <v/>
      </c>
      <c r="F5" t="str">
        <f t="shared" si="0"/>
        <v>bas</v>
      </c>
      <c r="N5" s="16"/>
      <c r="O5" s="17"/>
      <c r="P5" s="17"/>
      <c r="Q5" s="17"/>
      <c r="R5" s="17"/>
      <c r="S5" s="17"/>
      <c r="T5" s="17"/>
      <c r="U5" s="18"/>
    </row>
    <row r="6" spans="2:21">
      <c r="B6" s="1"/>
      <c r="C6" s="3"/>
      <c r="D6" t="str">
        <f t="shared" ref="D3:D14" si="1">IFERROR(IF(B6="","",C6&amp;"."&amp;F6),B6)</f>
        <v/>
      </c>
      <c r="E6" t="str">
        <f t="shared" ref="E3:E18" si="2">IFERROR(_xlfn.NUMBERVALUE(LEFT(B6,SEARCH(" ",B6,1)-1)),"")</f>
        <v/>
      </c>
      <c r="F6" t="str">
        <f t="shared" si="0"/>
        <v/>
      </c>
      <c r="N6" s="16"/>
      <c r="O6" s="17"/>
      <c r="P6" s="17"/>
      <c r="Q6" s="17"/>
      <c r="R6" s="17"/>
      <c r="S6" s="17"/>
      <c r="T6" s="17"/>
      <c r="U6" s="18"/>
    </row>
    <row r="7" spans="2:21">
      <c r="B7" s="1"/>
      <c r="C7" s="3"/>
      <c r="D7" t="str">
        <f t="shared" si="1"/>
        <v/>
      </c>
      <c r="E7" t="str">
        <f t="shared" si="2"/>
        <v/>
      </c>
      <c r="F7" t="str">
        <f t="shared" si="0"/>
        <v/>
      </c>
      <c r="N7" s="16"/>
      <c r="O7" s="17"/>
      <c r="P7" s="17"/>
      <c r="Q7" s="17"/>
      <c r="R7" s="17"/>
      <c r="S7" s="17"/>
      <c r="T7" s="17"/>
      <c r="U7" s="18"/>
    </row>
    <row r="8" spans="2:21">
      <c r="B8" s="1"/>
      <c r="C8" s="3"/>
      <c r="D8" t="str">
        <f t="shared" si="1"/>
        <v/>
      </c>
      <c r="E8" t="str">
        <f t="shared" si="2"/>
        <v/>
      </c>
      <c r="F8" t="str">
        <f t="shared" si="0"/>
        <v/>
      </c>
      <c r="N8" s="16"/>
      <c r="O8" s="17"/>
      <c r="P8" s="17"/>
      <c r="Q8" s="17"/>
      <c r="R8" s="17"/>
      <c r="S8" s="17"/>
      <c r="T8" s="17"/>
      <c r="U8" s="18"/>
    </row>
    <row r="9" spans="2:21">
      <c r="B9" s="1"/>
      <c r="C9" s="3"/>
      <c r="D9" t="str">
        <f t="shared" si="1"/>
        <v/>
      </c>
      <c r="E9" t="str">
        <f t="shared" si="2"/>
        <v/>
      </c>
      <c r="F9" t="str">
        <f t="shared" si="0"/>
        <v/>
      </c>
      <c r="N9" s="16"/>
      <c r="O9" s="17"/>
      <c r="P9" s="17"/>
      <c r="Q9" s="17"/>
      <c r="R9" s="17"/>
      <c r="S9" s="17"/>
      <c r="T9" s="17"/>
      <c r="U9" s="18"/>
    </row>
    <row r="10" spans="2:21">
      <c r="B10" s="1"/>
      <c r="C10" s="3"/>
      <c r="D10" t="str">
        <f t="shared" si="1"/>
        <v/>
      </c>
      <c r="E10" t="str">
        <f t="shared" si="2"/>
        <v/>
      </c>
      <c r="F10" t="str">
        <f t="shared" si="0"/>
        <v/>
      </c>
      <c r="N10" s="16"/>
      <c r="O10" s="17"/>
      <c r="P10" s="17"/>
      <c r="Q10" s="17"/>
      <c r="R10" s="17"/>
      <c r="S10" s="17"/>
      <c r="T10" s="17"/>
      <c r="U10" s="18"/>
    </row>
    <row r="11" spans="2:21">
      <c r="B11" s="1"/>
      <c r="C11" s="3"/>
      <c r="D11" t="str">
        <f t="shared" si="1"/>
        <v/>
      </c>
      <c r="E11" t="str">
        <f t="shared" si="2"/>
        <v/>
      </c>
      <c r="F11" t="str">
        <f t="shared" si="0"/>
        <v/>
      </c>
      <c r="N11" s="16"/>
      <c r="O11" s="17"/>
      <c r="P11" s="17"/>
      <c r="Q11" s="17"/>
      <c r="R11" s="17"/>
      <c r="S11" s="17"/>
      <c r="T11" s="17"/>
      <c r="U11" s="18"/>
    </row>
    <row r="12" spans="2:21">
      <c r="B12" s="1"/>
      <c r="C12" s="3"/>
      <c r="D12" t="str">
        <f t="shared" si="1"/>
        <v/>
      </c>
      <c r="E12" t="str">
        <f t="shared" si="2"/>
        <v/>
      </c>
      <c r="F12" t="str">
        <f t="shared" si="0"/>
        <v/>
      </c>
      <c r="N12" s="16"/>
      <c r="O12" s="17"/>
      <c r="P12" s="17"/>
      <c r="Q12" s="17"/>
      <c r="R12" s="17"/>
      <c r="S12" s="17"/>
      <c r="T12" s="17"/>
      <c r="U12" s="18"/>
    </row>
    <row r="13" spans="2:21">
      <c r="B13" s="1"/>
      <c r="C13" s="3"/>
      <c r="D13" t="str">
        <f t="shared" si="1"/>
        <v/>
      </c>
      <c r="E13" t="str">
        <f t="shared" si="2"/>
        <v/>
      </c>
      <c r="F13" t="str">
        <f t="shared" si="0"/>
        <v/>
      </c>
      <c r="N13" s="16"/>
      <c r="O13" s="17"/>
      <c r="P13" s="17"/>
      <c r="Q13" s="17"/>
      <c r="R13" s="17"/>
      <c r="S13" s="17"/>
      <c r="T13" s="17"/>
      <c r="U13" s="18"/>
    </row>
    <row r="14" spans="2:21">
      <c r="B14" s="1"/>
      <c r="C14" s="3"/>
      <c r="D14" t="str">
        <f t="shared" si="1"/>
        <v/>
      </c>
      <c r="E14" t="str">
        <f t="shared" si="2"/>
        <v/>
      </c>
      <c r="F14" t="str">
        <f t="shared" si="0"/>
        <v/>
      </c>
      <c r="N14" s="19"/>
      <c r="O14" s="20"/>
      <c r="P14" s="20"/>
      <c r="Q14" s="20"/>
      <c r="R14" s="20"/>
      <c r="S14" s="20"/>
      <c r="T14" s="20"/>
      <c r="U14" s="21"/>
    </row>
    <row r="15" spans="2:21">
      <c r="B15" s="1"/>
      <c r="C15" s="3"/>
      <c r="D15" t="str">
        <f>IFERROR(IF(B15="","",#REF!&amp;"."&amp;F15),B15)</f>
        <v/>
      </c>
      <c r="E15" t="str">
        <f t="shared" si="2"/>
        <v/>
      </c>
      <c r="F15" t="str">
        <f t="shared" ref="F15:F78" si="3">IF(B15="","",IF(ISERROR(FIND(".",B15)),B15,RIGHT(B15,LEN(B15)-FIND("~",SUBSTITUTE(B15,".","~",LEN(B15)-LEN(SUBSTITUTE(B15,".","")))))))</f>
        <v/>
      </c>
    </row>
    <row r="16" spans="2:21">
      <c r="B16" s="1"/>
      <c r="C16" s="3"/>
      <c r="D16" t="str">
        <f>IFERROR(IF(B16="","",C16&amp;"."&amp;F16),B16)</f>
        <v/>
      </c>
      <c r="E16" t="str">
        <f t="shared" si="2"/>
        <v/>
      </c>
      <c r="F16" t="str">
        <f t="shared" si="3"/>
        <v/>
      </c>
    </row>
    <row r="17" spans="2:6">
      <c r="B17" s="1"/>
      <c r="C17" s="3"/>
      <c r="D17" t="str">
        <f>IFERROR(IF(B17="","",C17&amp;"."&amp;F17),B17)</f>
        <v/>
      </c>
      <c r="E17" t="str">
        <f t="shared" si="2"/>
        <v/>
      </c>
      <c r="F17" t="str">
        <f t="shared" si="3"/>
        <v/>
      </c>
    </row>
    <row r="18" spans="2:6">
      <c r="B18" s="1"/>
      <c r="C18" s="3"/>
      <c r="D18" t="str">
        <f>IFERROR(IF(B18="","",C18&amp;"."&amp;F18),B18)</f>
        <v/>
      </c>
      <c r="E18" t="str">
        <f t="shared" si="2"/>
        <v/>
      </c>
      <c r="F18" t="str">
        <f t="shared" si="3"/>
        <v/>
      </c>
    </row>
    <row r="19" spans="2:6">
      <c r="B19" s="1"/>
      <c r="C19" s="3"/>
      <c r="D19" t="str">
        <f t="shared" ref="D19:D47" si="4">IFERROR(IF(B19="","",C19&amp;"."&amp;F19),B19)</f>
        <v/>
      </c>
      <c r="E19" t="str">
        <f t="shared" ref="E19:E34" si="5">IFERROR(_xlfn.NUMBERVALUE(LEFT(B19,SEARCH(" ",B19,1)-1)),"")</f>
        <v/>
      </c>
      <c r="F19" t="str">
        <f t="shared" si="3"/>
        <v/>
      </c>
    </row>
    <row r="20" spans="2:6">
      <c r="B20" s="1"/>
      <c r="C20" s="3"/>
      <c r="D20" t="str">
        <f t="shared" si="4"/>
        <v/>
      </c>
      <c r="E20" t="str">
        <f t="shared" si="5"/>
        <v/>
      </c>
      <c r="F20" t="str">
        <f t="shared" si="3"/>
        <v/>
      </c>
    </row>
    <row r="21" spans="2:6">
      <c r="B21" s="1"/>
      <c r="C21" s="3"/>
      <c r="D21" t="str">
        <f t="shared" si="4"/>
        <v/>
      </c>
      <c r="E21" t="str">
        <f t="shared" si="5"/>
        <v/>
      </c>
      <c r="F21" t="str">
        <f t="shared" si="3"/>
        <v/>
      </c>
    </row>
    <row r="22" spans="2:6">
      <c r="B22" s="1"/>
      <c r="C22" s="3"/>
      <c r="D22" t="str">
        <f t="shared" si="4"/>
        <v/>
      </c>
      <c r="E22" t="str">
        <f t="shared" si="5"/>
        <v/>
      </c>
      <c r="F22" t="str">
        <f t="shared" si="3"/>
        <v/>
      </c>
    </row>
    <row r="23" spans="2:6">
      <c r="B23" s="1"/>
      <c r="C23" s="3"/>
      <c r="D23" t="str">
        <f t="shared" si="4"/>
        <v/>
      </c>
      <c r="E23" t="str">
        <f t="shared" si="5"/>
        <v/>
      </c>
      <c r="F23" t="str">
        <f t="shared" si="3"/>
        <v/>
      </c>
    </row>
    <row r="24" spans="2:6">
      <c r="B24" s="1"/>
      <c r="C24" s="3"/>
      <c r="D24" t="str">
        <f t="shared" si="4"/>
        <v/>
      </c>
      <c r="E24" t="str">
        <f t="shared" si="5"/>
        <v/>
      </c>
      <c r="F24" t="str">
        <f t="shared" si="3"/>
        <v/>
      </c>
    </row>
    <row r="25" spans="2:6">
      <c r="B25" s="1"/>
      <c r="C25" s="3"/>
      <c r="D25" t="str">
        <f t="shared" si="4"/>
        <v/>
      </c>
      <c r="E25" t="str">
        <f t="shared" si="5"/>
        <v/>
      </c>
      <c r="F25" t="str">
        <f t="shared" si="3"/>
        <v/>
      </c>
    </row>
    <row r="26" spans="2:6">
      <c r="B26" s="1"/>
      <c r="C26" s="3"/>
      <c r="D26" t="str">
        <f t="shared" si="4"/>
        <v/>
      </c>
      <c r="E26" t="str">
        <f t="shared" si="5"/>
        <v/>
      </c>
      <c r="F26" t="str">
        <f t="shared" si="3"/>
        <v/>
      </c>
    </row>
    <row r="27" spans="2:6">
      <c r="B27" s="1"/>
      <c r="C27" s="3"/>
      <c r="D27" t="str">
        <f t="shared" si="4"/>
        <v/>
      </c>
      <c r="E27" t="str">
        <f t="shared" si="5"/>
        <v/>
      </c>
      <c r="F27" t="str">
        <f t="shared" si="3"/>
        <v/>
      </c>
    </row>
    <row r="28" spans="2:6">
      <c r="B28" s="1"/>
      <c r="C28" s="3"/>
      <c r="D28" t="str">
        <f t="shared" si="4"/>
        <v/>
      </c>
      <c r="E28" t="str">
        <f t="shared" si="5"/>
        <v/>
      </c>
      <c r="F28" t="str">
        <f t="shared" si="3"/>
        <v/>
      </c>
    </row>
    <row r="29" spans="2:6">
      <c r="B29" s="1"/>
      <c r="C29" s="3"/>
      <c r="D29" t="str">
        <f t="shared" si="4"/>
        <v/>
      </c>
      <c r="E29" t="str">
        <f t="shared" si="5"/>
        <v/>
      </c>
      <c r="F29" t="str">
        <f t="shared" si="3"/>
        <v/>
      </c>
    </row>
    <row r="30" spans="2:6">
      <c r="B30" s="1"/>
      <c r="C30" s="3"/>
      <c r="D30" t="str">
        <f t="shared" si="4"/>
        <v/>
      </c>
      <c r="E30" t="str">
        <f t="shared" si="5"/>
        <v/>
      </c>
      <c r="F30" t="str">
        <f t="shared" si="3"/>
        <v/>
      </c>
    </row>
    <row r="31" spans="2:6">
      <c r="B31" s="1"/>
      <c r="C31" s="3"/>
      <c r="D31" t="str">
        <f t="shared" si="4"/>
        <v/>
      </c>
      <c r="E31" t="str">
        <f t="shared" si="5"/>
        <v/>
      </c>
      <c r="F31" t="str">
        <f t="shared" si="3"/>
        <v/>
      </c>
    </row>
    <row r="32" spans="2:6">
      <c r="B32" s="1"/>
      <c r="C32" s="3"/>
      <c r="D32" t="str">
        <f t="shared" si="4"/>
        <v/>
      </c>
      <c r="E32" t="str">
        <f t="shared" si="5"/>
        <v/>
      </c>
      <c r="F32" t="str">
        <f t="shared" si="3"/>
        <v/>
      </c>
    </row>
    <row r="33" spans="2:6">
      <c r="B33" s="1"/>
      <c r="C33" s="3"/>
      <c r="D33" t="str">
        <f t="shared" si="4"/>
        <v/>
      </c>
      <c r="E33" t="str">
        <f t="shared" si="5"/>
        <v/>
      </c>
      <c r="F33" t="str">
        <f t="shared" si="3"/>
        <v/>
      </c>
    </row>
    <row r="34" spans="2:6">
      <c r="B34" s="1"/>
      <c r="C34" s="3"/>
      <c r="D34" t="str">
        <f t="shared" si="4"/>
        <v/>
      </c>
      <c r="E34" t="str">
        <f t="shared" si="5"/>
        <v/>
      </c>
      <c r="F34" t="str">
        <f t="shared" si="3"/>
        <v/>
      </c>
    </row>
    <row r="35" spans="2:6">
      <c r="B35" s="1"/>
      <c r="C35" s="3"/>
      <c r="D35" t="str">
        <f t="shared" si="4"/>
        <v/>
      </c>
      <c r="E35" t="str">
        <f t="shared" ref="E35:E66" si="6">IFERROR(_xlfn.NUMBERVALUE(LEFT(B35,SEARCH(" ",B35,1)-1)),"")</f>
        <v/>
      </c>
      <c r="F35" t="str">
        <f t="shared" si="3"/>
        <v/>
      </c>
    </row>
    <row r="36" spans="2:6">
      <c r="B36" s="1"/>
      <c r="C36" s="3"/>
      <c r="D36" t="str">
        <f t="shared" si="4"/>
        <v/>
      </c>
      <c r="E36" t="str">
        <f t="shared" si="6"/>
        <v/>
      </c>
      <c r="F36" t="str">
        <f t="shared" si="3"/>
        <v/>
      </c>
    </row>
    <row r="37" spans="2:6">
      <c r="B37" s="1"/>
      <c r="C37" s="3"/>
      <c r="D37" t="str">
        <f t="shared" si="4"/>
        <v/>
      </c>
      <c r="E37" t="str">
        <f t="shared" si="6"/>
        <v/>
      </c>
      <c r="F37" t="str">
        <f t="shared" si="3"/>
        <v/>
      </c>
    </row>
    <row r="38" spans="2:6">
      <c r="B38" s="1"/>
      <c r="C38" s="3"/>
      <c r="D38" t="str">
        <f t="shared" si="4"/>
        <v/>
      </c>
      <c r="E38" t="str">
        <f t="shared" si="6"/>
        <v/>
      </c>
      <c r="F38" t="str">
        <f t="shared" si="3"/>
        <v/>
      </c>
    </row>
    <row r="39" spans="2:6">
      <c r="B39" s="1"/>
      <c r="C39" s="3"/>
      <c r="D39" t="str">
        <f t="shared" si="4"/>
        <v/>
      </c>
      <c r="E39" t="str">
        <f t="shared" si="6"/>
        <v/>
      </c>
      <c r="F39" t="str">
        <f t="shared" si="3"/>
        <v/>
      </c>
    </row>
    <row r="40" spans="2:6">
      <c r="B40" s="1"/>
      <c r="C40" s="3"/>
      <c r="D40" t="str">
        <f t="shared" si="4"/>
        <v/>
      </c>
      <c r="E40" t="str">
        <f t="shared" si="6"/>
        <v/>
      </c>
      <c r="F40" t="str">
        <f t="shared" si="3"/>
        <v/>
      </c>
    </row>
    <row r="41" spans="2:6">
      <c r="B41" s="1"/>
      <c r="C41" s="3"/>
      <c r="D41" t="str">
        <f t="shared" si="4"/>
        <v/>
      </c>
      <c r="E41" t="str">
        <f t="shared" si="6"/>
        <v/>
      </c>
      <c r="F41" t="str">
        <f t="shared" si="3"/>
        <v/>
      </c>
    </row>
    <row r="42" spans="2:6">
      <c r="B42" s="1"/>
      <c r="C42" s="3"/>
      <c r="D42" t="str">
        <f t="shared" si="4"/>
        <v/>
      </c>
      <c r="E42" t="str">
        <f t="shared" si="6"/>
        <v/>
      </c>
      <c r="F42" t="str">
        <f t="shared" si="3"/>
        <v/>
      </c>
    </row>
    <row r="43" spans="2:6">
      <c r="B43" s="1"/>
      <c r="C43" s="3"/>
      <c r="D43" t="str">
        <f t="shared" si="4"/>
        <v/>
      </c>
      <c r="E43" t="str">
        <f t="shared" si="6"/>
        <v/>
      </c>
      <c r="F43" t="str">
        <f t="shared" si="3"/>
        <v/>
      </c>
    </row>
    <row r="44" spans="2:6">
      <c r="B44" s="1"/>
      <c r="C44" s="3"/>
      <c r="D44" t="str">
        <f t="shared" si="4"/>
        <v/>
      </c>
      <c r="E44" t="str">
        <f t="shared" si="6"/>
        <v/>
      </c>
      <c r="F44" t="str">
        <f t="shared" si="3"/>
        <v/>
      </c>
    </row>
    <row r="45" spans="2:6">
      <c r="B45" s="1"/>
      <c r="C45" s="3"/>
      <c r="D45" t="str">
        <f t="shared" si="4"/>
        <v/>
      </c>
      <c r="E45" t="str">
        <f t="shared" si="6"/>
        <v/>
      </c>
      <c r="F45" t="str">
        <f t="shared" si="3"/>
        <v/>
      </c>
    </row>
    <row r="46" spans="2:6">
      <c r="B46" s="1"/>
      <c r="C46" s="3"/>
      <c r="D46" t="str">
        <f t="shared" si="4"/>
        <v/>
      </c>
      <c r="E46" t="str">
        <f t="shared" si="6"/>
        <v/>
      </c>
      <c r="F46" t="str">
        <f t="shared" si="3"/>
        <v/>
      </c>
    </row>
    <row r="47" spans="2:6">
      <c r="B47" s="1"/>
      <c r="C47" s="3"/>
      <c r="D47" t="str">
        <f t="shared" si="4"/>
        <v/>
      </c>
      <c r="E47" t="str">
        <f t="shared" si="6"/>
        <v/>
      </c>
      <c r="F47" t="str">
        <f t="shared" si="3"/>
        <v/>
      </c>
    </row>
    <row r="48" spans="2:6">
      <c r="B48" s="1"/>
      <c r="C48" s="3"/>
      <c r="D48" t="str">
        <f t="shared" ref="D48:D79" si="7">IFERROR(IF(B48="","",C48&amp;"."&amp;F48),B48)</f>
        <v/>
      </c>
      <c r="E48" t="str">
        <f t="shared" si="6"/>
        <v/>
      </c>
      <c r="F48" t="str">
        <f t="shared" si="3"/>
        <v/>
      </c>
    </row>
    <row r="49" spans="2:6">
      <c r="B49" s="1"/>
      <c r="C49" s="3"/>
      <c r="D49" t="str">
        <f t="shared" si="7"/>
        <v/>
      </c>
      <c r="E49" t="str">
        <f t="shared" si="6"/>
        <v/>
      </c>
      <c r="F49" t="str">
        <f t="shared" si="3"/>
        <v/>
      </c>
    </row>
    <row r="50" spans="2:6">
      <c r="B50" s="1"/>
      <c r="C50" s="3"/>
      <c r="D50" t="str">
        <f t="shared" si="7"/>
        <v/>
      </c>
      <c r="E50" t="str">
        <f t="shared" si="6"/>
        <v/>
      </c>
      <c r="F50" t="str">
        <f t="shared" si="3"/>
        <v/>
      </c>
    </row>
    <row r="51" spans="2:6">
      <c r="B51" s="1"/>
      <c r="C51" s="3"/>
      <c r="D51" t="str">
        <f t="shared" si="7"/>
        <v/>
      </c>
      <c r="E51" t="str">
        <f t="shared" si="6"/>
        <v/>
      </c>
      <c r="F51" t="str">
        <f t="shared" si="3"/>
        <v/>
      </c>
    </row>
    <row r="52" spans="2:6">
      <c r="B52" s="1"/>
      <c r="C52" s="3"/>
      <c r="D52" t="str">
        <f t="shared" si="7"/>
        <v/>
      </c>
      <c r="E52" t="str">
        <f t="shared" si="6"/>
        <v/>
      </c>
      <c r="F52" t="str">
        <f t="shared" si="3"/>
        <v/>
      </c>
    </row>
    <row r="53" spans="2:6">
      <c r="B53" s="1"/>
      <c r="C53" s="3"/>
      <c r="D53" t="str">
        <f t="shared" si="7"/>
        <v/>
      </c>
      <c r="E53" t="str">
        <f t="shared" si="6"/>
        <v/>
      </c>
      <c r="F53" t="str">
        <f t="shared" si="3"/>
        <v/>
      </c>
    </row>
    <row r="54" spans="2:6">
      <c r="B54" s="1"/>
      <c r="C54" s="3"/>
      <c r="D54" t="str">
        <f t="shared" si="7"/>
        <v/>
      </c>
      <c r="E54" t="str">
        <f t="shared" si="6"/>
        <v/>
      </c>
      <c r="F54" t="str">
        <f t="shared" si="3"/>
        <v/>
      </c>
    </row>
    <row r="55" spans="2:6">
      <c r="B55" s="1"/>
      <c r="C55" s="3"/>
      <c r="D55" t="str">
        <f t="shared" si="7"/>
        <v/>
      </c>
      <c r="E55" t="str">
        <f t="shared" si="6"/>
        <v/>
      </c>
      <c r="F55" t="str">
        <f t="shared" si="3"/>
        <v/>
      </c>
    </row>
    <row r="56" spans="2:6">
      <c r="B56" s="1"/>
      <c r="C56" s="3"/>
      <c r="D56" t="str">
        <f t="shared" si="7"/>
        <v/>
      </c>
      <c r="E56" t="str">
        <f t="shared" si="6"/>
        <v/>
      </c>
      <c r="F56" t="str">
        <f t="shared" si="3"/>
        <v/>
      </c>
    </row>
    <row r="57" spans="2:6">
      <c r="B57" s="1"/>
      <c r="C57" s="3"/>
      <c r="D57" t="str">
        <f t="shared" si="7"/>
        <v/>
      </c>
      <c r="E57" t="str">
        <f t="shared" si="6"/>
        <v/>
      </c>
      <c r="F57" t="str">
        <f t="shared" si="3"/>
        <v/>
      </c>
    </row>
    <row r="58" spans="2:6">
      <c r="B58" s="1"/>
      <c r="C58" s="3"/>
      <c r="D58" t="str">
        <f t="shared" si="7"/>
        <v/>
      </c>
      <c r="E58" t="str">
        <f t="shared" si="6"/>
        <v/>
      </c>
      <c r="F58" t="str">
        <f t="shared" si="3"/>
        <v/>
      </c>
    </row>
    <row r="59" spans="2:6">
      <c r="B59" s="1"/>
      <c r="C59" s="3"/>
      <c r="D59" t="str">
        <f t="shared" si="7"/>
        <v/>
      </c>
      <c r="E59" t="str">
        <f t="shared" si="6"/>
        <v/>
      </c>
      <c r="F59" t="str">
        <f t="shared" si="3"/>
        <v/>
      </c>
    </row>
    <row r="60" spans="2:6">
      <c r="B60" s="1"/>
      <c r="C60" s="3"/>
      <c r="D60" t="str">
        <f t="shared" si="7"/>
        <v/>
      </c>
      <c r="E60" t="str">
        <f t="shared" si="6"/>
        <v/>
      </c>
      <c r="F60" t="str">
        <f t="shared" si="3"/>
        <v/>
      </c>
    </row>
    <row r="61" spans="2:6">
      <c r="B61" s="1"/>
      <c r="C61" s="3"/>
      <c r="D61" t="str">
        <f t="shared" si="7"/>
        <v/>
      </c>
      <c r="E61" t="str">
        <f t="shared" si="6"/>
        <v/>
      </c>
      <c r="F61" t="str">
        <f t="shared" si="3"/>
        <v/>
      </c>
    </row>
    <row r="62" spans="2:6">
      <c r="B62" s="1"/>
      <c r="C62" s="3"/>
      <c r="D62" t="str">
        <f t="shared" si="7"/>
        <v/>
      </c>
      <c r="E62" t="str">
        <f t="shared" si="6"/>
        <v/>
      </c>
      <c r="F62" t="str">
        <f t="shared" si="3"/>
        <v/>
      </c>
    </row>
    <row r="63" spans="2:6">
      <c r="B63" s="1"/>
      <c r="C63" s="3"/>
      <c r="D63" t="str">
        <f t="shared" si="7"/>
        <v/>
      </c>
      <c r="E63" t="str">
        <f t="shared" si="6"/>
        <v/>
      </c>
      <c r="F63" t="str">
        <f t="shared" si="3"/>
        <v/>
      </c>
    </row>
    <row r="64" spans="2:6">
      <c r="B64" s="1"/>
      <c r="C64" s="3"/>
      <c r="D64" t="str">
        <f t="shared" si="7"/>
        <v/>
      </c>
      <c r="E64" t="str">
        <f t="shared" si="6"/>
        <v/>
      </c>
      <c r="F64" t="str">
        <f t="shared" si="3"/>
        <v/>
      </c>
    </row>
    <row r="65" spans="2:6">
      <c r="B65" s="1"/>
      <c r="C65" s="3"/>
      <c r="D65" t="str">
        <f t="shared" si="7"/>
        <v/>
      </c>
      <c r="E65" t="str">
        <f t="shared" si="6"/>
        <v/>
      </c>
      <c r="F65" t="str">
        <f t="shared" si="3"/>
        <v/>
      </c>
    </row>
    <row r="66" spans="2:6">
      <c r="B66" s="1"/>
      <c r="C66" s="3"/>
      <c r="D66" t="str">
        <f t="shared" si="7"/>
        <v/>
      </c>
      <c r="E66" t="str">
        <f t="shared" si="6"/>
        <v/>
      </c>
      <c r="F66" t="str">
        <f t="shared" si="3"/>
        <v/>
      </c>
    </row>
    <row r="67" spans="2:6">
      <c r="B67" s="1"/>
      <c r="C67" s="3"/>
      <c r="D67" t="str">
        <f t="shared" si="7"/>
        <v/>
      </c>
      <c r="E67" t="str">
        <f t="shared" ref="E67:E90" si="8">IFERROR(_xlfn.NUMBERVALUE(LEFT(B67,SEARCH(" ",B67,1)-1)),"")</f>
        <v/>
      </c>
      <c r="F67" t="str">
        <f t="shared" si="3"/>
        <v/>
      </c>
    </row>
    <row r="68" spans="2:6">
      <c r="B68" s="1"/>
      <c r="C68" s="3"/>
      <c r="D68" t="str">
        <f t="shared" si="7"/>
        <v/>
      </c>
      <c r="E68" t="str">
        <f t="shared" si="8"/>
        <v/>
      </c>
      <c r="F68" t="str">
        <f t="shared" si="3"/>
        <v/>
      </c>
    </row>
    <row r="69" spans="2:6">
      <c r="B69" s="1"/>
      <c r="C69" s="3"/>
      <c r="D69" t="str">
        <f t="shared" si="7"/>
        <v/>
      </c>
      <c r="E69" t="str">
        <f t="shared" si="8"/>
        <v/>
      </c>
      <c r="F69" t="str">
        <f t="shared" si="3"/>
        <v/>
      </c>
    </row>
    <row r="70" spans="2:6">
      <c r="B70" s="1"/>
      <c r="C70" s="3"/>
      <c r="D70" t="str">
        <f t="shared" si="7"/>
        <v/>
      </c>
      <c r="E70" t="str">
        <f t="shared" si="8"/>
        <v/>
      </c>
      <c r="F70" t="str">
        <f t="shared" si="3"/>
        <v/>
      </c>
    </row>
    <row r="71" spans="2:6">
      <c r="B71" s="1"/>
      <c r="C71" s="3"/>
      <c r="D71" t="str">
        <f t="shared" si="7"/>
        <v/>
      </c>
      <c r="E71" t="str">
        <f t="shared" si="8"/>
        <v/>
      </c>
      <c r="F71" t="str">
        <f t="shared" si="3"/>
        <v/>
      </c>
    </row>
    <row r="72" spans="2:6">
      <c r="B72" s="1"/>
      <c r="C72" s="3"/>
      <c r="D72" t="str">
        <f t="shared" si="7"/>
        <v/>
      </c>
      <c r="E72" t="str">
        <f t="shared" si="8"/>
        <v/>
      </c>
      <c r="F72" t="str">
        <f t="shared" si="3"/>
        <v/>
      </c>
    </row>
    <row r="73" spans="2:6">
      <c r="B73" s="1"/>
      <c r="C73" s="3"/>
      <c r="D73" t="str">
        <f t="shared" si="7"/>
        <v/>
      </c>
      <c r="E73" t="str">
        <f t="shared" si="8"/>
        <v/>
      </c>
      <c r="F73" t="str">
        <f t="shared" si="3"/>
        <v/>
      </c>
    </row>
    <row r="74" spans="2:6">
      <c r="B74" s="1"/>
      <c r="C74" s="3"/>
      <c r="D74" t="str">
        <f t="shared" si="7"/>
        <v/>
      </c>
      <c r="E74" t="str">
        <f t="shared" si="8"/>
        <v/>
      </c>
      <c r="F74" t="str">
        <f t="shared" si="3"/>
        <v/>
      </c>
    </row>
    <row r="75" spans="2:6">
      <c r="B75" s="1"/>
      <c r="C75" s="3"/>
      <c r="D75" t="str">
        <f t="shared" si="7"/>
        <v/>
      </c>
      <c r="E75" t="str">
        <f t="shared" si="8"/>
        <v/>
      </c>
      <c r="F75" t="str">
        <f t="shared" si="3"/>
        <v/>
      </c>
    </row>
    <row r="76" spans="2:6">
      <c r="B76" s="1"/>
      <c r="C76" s="3"/>
      <c r="D76" t="str">
        <f t="shared" si="7"/>
        <v/>
      </c>
      <c r="E76" t="str">
        <f t="shared" si="8"/>
        <v/>
      </c>
      <c r="F76" t="str">
        <f t="shared" si="3"/>
        <v/>
      </c>
    </row>
    <row r="77" spans="2:6">
      <c r="B77" s="1"/>
      <c r="C77" s="3"/>
      <c r="D77" t="str">
        <f t="shared" si="7"/>
        <v/>
      </c>
      <c r="E77" t="str">
        <f t="shared" si="8"/>
        <v/>
      </c>
      <c r="F77" t="str">
        <f t="shared" si="3"/>
        <v/>
      </c>
    </row>
    <row r="78" spans="2:6">
      <c r="B78" s="1"/>
      <c r="C78" s="3"/>
      <c r="D78" t="str">
        <f t="shared" si="7"/>
        <v/>
      </c>
      <c r="E78" t="str">
        <f t="shared" si="8"/>
        <v/>
      </c>
      <c r="F78" t="str">
        <f t="shared" si="3"/>
        <v/>
      </c>
    </row>
    <row r="79" spans="2:6">
      <c r="B79" s="1"/>
      <c r="C79" s="3"/>
      <c r="D79" t="str">
        <f t="shared" si="7"/>
        <v/>
      </c>
      <c r="E79" t="str">
        <f t="shared" si="8"/>
        <v/>
      </c>
      <c r="F79" t="str">
        <f t="shared" ref="F79:F142" si="9">IF(B79="","",IF(ISERROR(FIND(".",B79)),B79,RIGHT(B79,LEN(B79)-FIND("~",SUBSTITUTE(B79,".","~",LEN(B79)-LEN(SUBSTITUTE(B79,".","")))))))</f>
        <v/>
      </c>
    </row>
    <row r="80" spans="2:6">
      <c r="B80" s="1"/>
      <c r="C80" s="3"/>
      <c r="D80" t="str">
        <f t="shared" ref="D80:D90" si="10">IFERROR(IF(B80="","",C80&amp;"."&amp;F80),B80)</f>
        <v/>
      </c>
      <c r="E80" t="str">
        <f t="shared" si="8"/>
        <v/>
      </c>
      <c r="F80" t="str">
        <f t="shared" si="9"/>
        <v/>
      </c>
    </row>
    <row r="81" spans="2:6">
      <c r="B81" s="1"/>
      <c r="C81" s="3"/>
      <c r="D81" t="str">
        <f t="shared" si="10"/>
        <v/>
      </c>
      <c r="E81" t="str">
        <f t="shared" si="8"/>
        <v/>
      </c>
      <c r="F81" t="str">
        <f t="shared" si="9"/>
        <v/>
      </c>
    </row>
    <row r="82" spans="2:6">
      <c r="B82" s="1"/>
      <c r="C82" s="3"/>
      <c r="D82" t="str">
        <f t="shared" si="10"/>
        <v/>
      </c>
      <c r="E82" t="str">
        <f t="shared" si="8"/>
        <v/>
      </c>
      <c r="F82" t="str">
        <f t="shared" si="9"/>
        <v/>
      </c>
    </row>
    <row r="83" spans="2:6">
      <c r="B83" s="1"/>
      <c r="C83" s="3"/>
      <c r="D83" t="str">
        <f t="shared" si="10"/>
        <v/>
      </c>
      <c r="E83" t="str">
        <f t="shared" si="8"/>
        <v/>
      </c>
      <c r="F83" t="str">
        <f t="shared" si="9"/>
        <v/>
      </c>
    </row>
    <row r="84" spans="2:6">
      <c r="B84" s="1"/>
      <c r="C84" s="3"/>
      <c r="D84" t="str">
        <f t="shared" si="10"/>
        <v/>
      </c>
      <c r="E84" t="str">
        <f t="shared" si="8"/>
        <v/>
      </c>
      <c r="F84" t="str">
        <f t="shared" si="9"/>
        <v/>
      </c>
    </row>
    <row r="85" spans="2:6">
      <c r="B85" s="1"/>
      <c r="C85" s="3"/>
      <c r="D85" t="str">
        <f t="shared" si="10"/>
        <v/>
      </c>
      <c r="E85" t="str">
        <f t="shared" si="8"/>
        <v/>
      </c>
      <c r="F85" t="str">
        <f t="shared" si="9"/>
        <v/>
      </c>
    </row>
    <row r="86" spans="2:6">
      <c r="B86" s="1"/>
      <c r="C86" s="3"/>
      <c r="D86" t="str">
        <f t="shared" si="10"/>
        <v/>
      </c>
      <c r="E86" t="str">
        <f t="shared" si="8"/>
        <v/>
      </c>
      <c r="F86" t="str">
        <f t="shared" si="9"/>
        <v/>
      </c>
    </row>
    <row r="87" spans="2:6">
      <c r="B87" s="1"/>
      <c r="C87" s="3"/>
      <c r="D87" t="str">
        <f t="shared" si="10"/>
        <v/>
      </c>
      <c r="E87" t="str">
        <f t="shared" si="8"/>
        <v/>
      </c>
      <c r="F87" t="str">
        <f t="shared" si="9"/>
        <v/>
      </c>
    </row>
    <row r="88" spans="2:6">
      <c r="B88" s="1"/>
      <c r="C88" s="3"/>
      <c r="D88" t="str">
        <f t="shared" si="10"/>
        <v/>
      </c>
      <c r="E88" t="str">
        <f t="shared" si="8"/>
        <v/>
      </c>
      <c r="F88" t="str">
        <f t="shared" si="9"/>
        <v/>
      </c>
    </row>
    <row r="89" spans="2:6">
      <c r="B89" s="1"/>
      <c r="C89" s="3"/>
      <c r="D89" t="str">
        <f t="shared" si="10"/>
        <v/>
      </c>
      <c r="E89" t="str">
        <f t="shared" si="8"/>
        <v/>
      </c>
      <c r="F89" t="str">
        <f t="shared" si="9"/>
        <v/>
      </c>
    </row>
    <row r="90" spans="2:6">
      <c r="B90" s="1"/>
      <c r="C90" s="3"/>
      <c r="D90" t="str">
        <f t="shared" si="10"/>
        <v/>
      </c>
      <c r="E90" t="str">
        <f t="shared" si="8"/>
        <v/>
      </c>
      <c r="F90" t="str">
        <f t="shared" si="9"/>
        <v/>
      </c>
    </row>
    <row r="91" spans="2:6">
      <c r="B91" s="1"/>
      <c r="C91" s="3"/>
      <c r="D91" t="str">
        <f t="shared" ref="D91:D104" si="11">IFERROR(IF(B91="","",C91&amp;"."&amp;F91),B91)</f>
        <v/>
      </c>
      <c r="E91" t="str">
        <f t="shared" ref="E91:E98" si="12">IFERROR(_xlfn.NUMBERVALUE(LEFT(B91,SEARCH(" ",B91,1)-1)),"")</f>
        <v/>
      </c>
      <c r="F91" t="str">
        <f t="shared" si="9"/>
        <v/>
      </c>
    </row>
    <row r="92" spans="2:6">
      <c r="B92" s="1"/>
      <c r="C92" s="3"/>
      <c r="D92" t="str">
        <f t="shared" si="11"/>
        <v/>
      </c>
      <c r="E92" t="str">
        <f t="shared" si="12"/>
        <v/>
      </c>
      <c r="F92" t="str">
        <f t="shared" si="9"/>
        <v/>
      </c>
    </row>
    <row r="93" spans="2:6">
      <c r="B93" s="1"/>
      <c r="C93" s="3"/>
      <c r="D93" t="str">
        <f t="shared" si="11"/>
        <v/>
      </c>
      <c r="E93" t="str">
        <f t="shared" si="12"/>
        <v/>
      </c>
      <c r="F93" t="str">
        <f t="shared" si="9"/>
        <v/>
      </c>
    </row>
    <row r="94" spans="2:6">
      <c r="B94" s="1"/>
      <c r="C94" s="3"/>
      <c r="D94" t="str">
        <f t="shared" si="11"/>
        <v/>
      </c>
      <c r="E94" t="str">
        <f t="shared" si="12"/>
        <v/>
      </c>
      <c r="F94" t="str">
        <f t="shared" si="9"/>
        <v/>
      </c>
    </row>
    <row r="95" spans="2:6">
      <c r="B95" s="1"/>
      <c r="C95" s="3"/>
      <c r="D95" t="str">
        <f t="shared" si="11"/>
        <v/>
      </c>
      <c r="E95" t="str">
        <f t="shared" si="12"/>
        <v/>
      </c>
      <c r="F95" t="str">
        <f t="shared" si="9"/>
        <v/>
      </c>
    </row>
    <row r="96" spans="2:6">
      <c r="B96" s="1"/>
      <c r="C96" s="3"/>
      <c r="D96" t="str">
        <f t="shared" si="11"/>
        <v/>
      </c>
      <c r="E96" t="str">
        <f t="shared" si="12"/>
        <v/>
      </c>
      <c r="F96" t="str">
        <f t="shared" si="9"/>
        <v/>
      </c>
    </row>
    <row r="97" spans="2:6">
      <c r="B97" s="1"/>
      <c r="C97" s="3"/>
      <c r="D97" t="str">
        <f t="shared" si="11"/>
        <v/>
      </c>
      <c r="E97" t="str">
        <f t="shared" si="12"/>
        <v/>
      </c>
      <c r="F97" t="str">
        <f t="shared" si="9"/>
        <v/>
      </c>
    </row>
    <row r="98" spans="2:6">
      <c r="B98" s="1"/>
      <c r="C98" s="3"/>
      <c r="D98" t="str">
        <f t="shared" si="11"/>
        <v/>
      </c>
      <c r="E98" t="str">
        <f t="shared" si="12"/>
        <v/>
      </c>
      <c r="F98" t="str">
        <f t="shared" si="9"/>
        <v/>
      </c>
    </row>
    <row r="99" spans="2:6">
      <c r="B99" s="1"/>
      <c r="C99" s="3"/>
      <c r="D99" t="str">
        <f t="shared" si="11"/>
        <v/>
      </c>
      <c r="E99" t="str">
        <f t="shared" ref="E99:E106" si="13">IFERROR(_xlfn.NUMBERVALUE(LEFT(B99,SEARCH(" ",B99,1)-1)),"")</f>
        <v/>
      </c>
      <c r="F99" t="str">
        <f t="shared" si="9"/>
        <v/>
      </c>
    </row>
    <row r="100" spans="2:6">
      <c r="B100" s="1"/>
      <c r="C100" s="3"/>
      <c r="D100" t="str">
        <f t="shared" si="11"/>
        <v/>
      </c>
      <c r="E100" t="str">
        <f t="shared" si="13"/>
        <v/>
      </c>
      <c r="F100" t="str">
        <f t="shared" si="9"/>
        <v/>
      </c>
    </row>
    <row r="101" spans="2:6">
      <c r="B101" s="1"/>
      <c r="C101" s="3"/>
      <c r="D101" t="str">
        <f t="shared" si="11"/>
        <v/>
      </c>
      <c r="E101" t="str">
        <f t="shared" si="13"/>
        <v/>
      </c>
      <c r="F101" t="str">
        <f t="shared" si="9"/>
        <v/>
      </c>
    </row>
    <row r="102" spans="2:6">
      <c r="B102" s="1"/>
      <c r="C102" s="3"/>
      <c r="D102" t="str">
        <f t="shared" si="11"/>
        <v/>
      </c>
      <c r="E102" t="str">
        <f t="shared" si="13"/>
        <v/>
      </c>
      <c r="F102" t="str">
        <f t="shared" si="9"/>
        <v/>
      </c>
    </row>
    <row r="103" spans="2:6">
      <c r="B103" s="1"/>
      <c r="C103" s="3"/>
      <c r="D103" t="str">
        <f t="shared" si="11"/>
        <v/>
      </c>
      <c r="E103" t="str">
        <f t="shared" si="13"/>
        <v/>
      </c>
      <c r="F103" t="str">
        <f t="shared" si="9"/>
        <v/>
      </c>
    </row>
    <row r="104" spans="2:6">
      <c r="B104" s="1"/>
      <c r="C104" s="3"/>
      <c r="D104" t="str">
        <f t="shared" si="11"/>
        <v/>
      </c>
      <c r="E104" t="str">
        <f t="shared" si="13"/>
        <v/>
      </c>
      <c r="F104" t="str">
        <f t="shared" si="9"/>
        <v/>
      </c>
    </row>
    <row r="105" spans="2:6">
      <c r="B105" s="1"/>
      <c r="C105" s="3"/>
      <c r="D105" t="str">
        <f t="shared" ref="D105:D106" si="14">IFERROR(IF(B105="","",C105&amp;"."&amp;F105),B105)</f>
        <v/>
      </c>
      <c r="E105" t="str">
        <f t="shared" si="13"/>
        <v/>
      </c>
      <c r="F105" t="str">
        <f t="shared" si="9"/>
        <v/>
      </c>
    </row>
    <row r="106" spans="2:6">
      <c r="B106" s="1"/>
      <c r="C106" s="3"/>
      <c r="D106" t="str">
        <f t="shared" si="14"/>
        <v/>
      </c>
      <c r="E106" t="str">
        <f t="shared" si="13"/>
        <v/>
      </c>
      <c r="F106" t="str">
        <f t="shared" si="9"/>
        <v/>
      </c>
    </row>
    <row r="107" spans="2:6">
      <c r="B107" s="1"/>
      <c r="C107" s="3"/>
      <c r="D107" t="str">
        <f>IFERROR(IF(B107="","",C83&amp;"."&amp;F107),B107)</f>
        <v/>
      </c>
      <c r="E107" t="str">
        <f t="shared" ref="E107:E130" si="15">IFERROR(_xlfn.NUMBERVALUE(LEFT(B107,SEARCH(" ",B107,1)-1)),"")</f>
        <v/>
      </c>
      <c r="F107" t="str">
        <f t="shared" si="9"/>
        <v/>
      </c>
    </row>
    <row r="108" spans="2:6">
      <c r="B108" s="1"/>
      <c r="C108" s="3"/>
      <c r="D108" t="str">
        <f t="shared" ref="D108:D130" si="16">IFERROR(IF(B108="","",C108&amp;"."&amp;F108),B108)</f>
        <v/>
      </c>
      <c r="E108" t="str">
        <f t="shared" si="15"/>
        <v/>
      </c>
      <c r="F108" t="str">
        <f t="shared" si="9"/>
        <v/>
      </c>
    </row>
    <row r="109" spans="2:6">
      <c r="B109" s="1"/>
      <c r="C109" s="3"/>
      <c r="D109" t="str">
        <f t="shared" si="16"/>
        <v/>
      </c>
      <c r="E109" t="str">
        <f t="shared" si="15"/>
        <v/>
      </c>
      <c r="F109" t="str">
        <f t="shared" si="9"/>
        <v/>
      </c>
    </row>
    <row r="110" spans="2:6">
      <c r="B110" s="1"/>
      <c r="C110" s="3"/>
      <c r="D110" t="str">
        <f t="shared" si="16"/>
        <v/>
      </c>
      <c r="E110" t="str">
        <f t="shared" si="15"/>
        <v/>
      </c>
      <c r="F110" t="str">
        <f t="shared" si="9"/>
        <v/>
      </c>
    </row>
    <row r="111" spans="2:6">
      <c r="B111" s="1"/>
      <c r="C111" s="3"/>
      <c r="D111" t="str">
        <f t="shared" si="16"/>
        <v/>
      </c>
      <c r="E111" t="str">
        <f t="shared" si="15"/>
        <v/>
      </c>
      <c r="F111" t="str">
        <f t="shared" si="9"/>
        <v/>
      </c>
    </row>
    <row r="112" spans="2:6">
      <c r="B112" s="1"/>
      <c r="C112" s="3"/>
      <c r="D112" t="str">
        <f t="shared" si="16"/>
        <v/>
      </c>
      <c r="E112" t="str">
        <f t="shared" si="15"/>
        <v/>
      </c>
      <c r="F112" t="str">
        <f t="shared" si="9"/>
        <v/>
      </c>
    </row>
    <row r="113" spans="2:6">
      <c r="B113" s="1"/>
      <c r="C113" s="3"/>
      <c r="D113" t="str">
        <f t="shared" si="16"/>
        <v/>
      </c>
      <c r="E113" t="str">
        <f t="shared" si="15"/>
        <v/>
      </c>
      <c r="F113" t="str">
        <f t="shared" si="9"/>
        <v/>
      </c>
    </row>
    <row r="114" spans="2:6">
      <c r="B114" s="1"/>
      <c r="C114" s="3"/>
      <c r="D114" t="str">
        <f t="shared" si="16"/>
        <v/>
      </c>
      <c r="E114" t="str">
        <f t="shared" si="15"/>
        <v/>
      </c>
      <c r="F114" t="str">
        <f t="shared" si="9"/>
        <v/>
      </c>
    </row>
    <row r="115" spans="2:6">
      <c r="B115" s="1"/>
      <c r="C115" s="3"/>
      <c r="D115" t="str">
        <f t="shared" si="16"/>
        <v/>
      </c>
      <c r="E115" t="str">
        <f t="shared" si="15"/>
        <v/>
      </c>
      <c r="F115" t="str">
        <f t="shared" si="9"/>
        <v/>
      </c>
    </row>
    <row r="116" spans="2:6">
      <c r="B116" s="1"/>
      <c r="C116" s="3"/>
      <c r="D116" t="str">
        <f t="shared" si="16"/>
        <v/>
      </c>
      <c r="E116" t="str">
        <f t="shared" si="15"/>
        <v/>
      </c>
      <c r="F116" t="str">
        <f t="shared" si="9"/>
        <v/>
      </c>
    </row>
    <row r="117" spans="2:6">
      <c r="B117" s="1"/>
      <c r="C117" s="3"/>
      <c r="D117" t="str">
        <f t="shared" si="16"/>
        <v/>
      </c>
      <c r="E117" t="str">
        <f t="shared" si="15"/>
        <v/>
      </c>
      <c r="F117" t="str">
        <f t="shared" si="9"/>
        <v/>
      </c>
    </row>
    <row r="118" spans="2:6">
      <c r="B118" s="1"/>
      <c r="C118" s="3"/>
      <c r="D118" t="str">
        <f t="shared" si="16"/>
        <v/>
      </c>
      <c r="E118" t="str">
        <f t="shared" si="15"/>
        <v/>
      </c>
      <c r="F118" t="str">
        <f t="shared" si="9"/>
        <v/>
      </c>
    </row>
    <row r="119" spans="2:6">
      <c r="B119" s="1"/>
      <c r="C119" s="3"/>
      <c r="D119" t="str">
        <f t="shared" si="16"/>
        <v/>
      </c>
      <c r="E119" t="str">
        <f t="shared" si="15"/>
        <v/>
      </c>
      <c r="F119" t="str">
        <f t="shared" si="9"/>
        <v/>
      </c>
    </row>
    <row r="120" spans="2:6">
      <c r="B120" s="1"/>
      <c r="C120" s="3"/>
      <c r="D120" t="str">
        <f t="shared" si="16"/>
        <v/>
      </c>
      <c r="E120" t="str">
        <f t="shared" si="15"/>
        <v/>
      </c>
      <c r="F120" t="str">
        <f t="shared" si="9"/>
        <v/>
      </c>
    </row>
    <row r="121" spans="2:6">
      <c r="B121" s="1"/>
      <c r="C121" s="3"/>
      <c r="D121" t="str">
        <f t="shared" si="16"/>
        <v/>
      </c>
      <c r="E121" t="str">
        <f t="shared" si="15"/>
        <v/>
      </c>
      <c r="F121" t="str">
        <f t="shared" si="9"/>
        <v/>
      </c>
    </row>
    <row r="122" spans="2:6">
      <c r="B122" s="1"/>
      <c r="C122" s="3"/>
      <c r="D122" t="str">
        <f t="shared" si="16"/>
        <v/>
      </c>
      <c r="E122" t="str">
        <f t="shared" si="15"/>
        <v/>
      </c>
      <c r="F122" t="str">
        <f t="shared" si="9"/>
        <v/>
      </c>
    </row>
    <row r="123" spans="2:6">
      <c r="B123" s="1"/>
      <c r="C123" s="3"/>
      <c r="D123" t="str">
        <f t="shared" si="16"/>
        <v/>
      </c>
      <c r="E123" t="str">
        <f t="shared" si="15"/>
        <v/>
      </c>
      <c r="F123" t="str">
        <f t="shared" si="9"/>
        <v/>
      </c>
    </row>
    <row r="124" spans="2:6">
      <c r="B124" s="1"/>
      <c r="C124" s="3"/>
      <c r="D124" t="str">
        <f t="shared" si="16"/>
        <v/>
      </c>
      <c r="E124" t="str">
        <f t="shared" si="15"/>
        <v/>
      </c>
      <c r="F124" t="str">
        <f t="shared" si="9"/>
        <v/>
      </c>
    </row>
    <row r="125" spans="2:6">
      <c r="B125" s="1"/>
      <c r="C125" s="3"/>
      <c r="D125" t="str">
        <f t="shared" si="16"/>
        <v/>
      </c>
      <c r="E125" t="str">
        <f t="shared" si="15"/>
        <v/>
      </c>
      <c r="F125" t="str">
        <f t="shared" si="9"/>
        <v/>
      </c>
    </row>
    <row r="126" spans="2:6">
      <c r="B126" s="1"/>
      <c r="C126" s="3"/>
      <c r="D126" t="str">
        <f t="shared" si="16"/>
        <v/>
      </c>
      <c r="E126" t="str">
        <f t="shared" si="15"/>
        <v/>
      </c>
      <c r="F126" t="str">
        <f t="shared" si="9"/>
        <v/>
      </c>
    </row>
    <row r="127" spans="2:6">
      <c r="B127" s="1"/>
      <c r="C127" s="3"/>
      <c r="D127" t="str">
        <f t="shared" si="16"/>
        <v/>
      </c>
      <c r="E127" t="str">
        <f t="shared" si="15"/>
        <v/>
      </c>
      <c r="F127" t="str">
        <f t="shared" si="9"/>
        <v/>
      </c>
    </row>
    <row r="128" spans="2:6">
      <c r="B128" s="1"/>
      <c r="C128" s="3"/>
      <c r="D128" t="str">
        <f t="shared" si="16"/>
        <v/>
      </c>
      <c r="E128" t="str">
        <f t="shared" si="15"/>
        <v/>
      </c>
      <c r="F128" t="str">
        <f t="shared" si="9"/>
        <v/>
      </c>
    </row>
    <row r="129" spans="2:6">
      <c r="B129" s="1"/>
      <c r="C129" s="3"/>
      <c r="D129" t="str">
        <f t="shared" si="16"/>
        <v/>
      </c>
      <c r="E129" t="str">
        <f t="shared" si="15"/>
        <v/>
      </c>
      <c r="F129" t="str">
        <f t="shared" si="9"/>
        <v/>
      </c>
    </row>
    <row r="130" spans="2:6">
      <c r="B130" s="1"/>
      <c r="C130" s="3"/>
      <c r="D130" t="str">
        <f t="shared" si="16"/>
        <v/>
      </c>
      <c r="E130" t="str">
        <f t="shared" si="15"/>
        <v/>
      </c>
      <c r="F130" t="str">
        <f t="shared" si="9"/>
        <v/>
      </c>
    </row>
    <row r="131" spans="2:6">
      <c r="B131" s="1"/>
      <c r="C131" s="3"/>
      <c r="D131" t="str">
        <f t="shared" ref="D131:D162" si="17">IFERROR(IF(B131="","",C131&amp;"."&amp;F131),B131)</f>
        <v/>
      </c>
      <c r="E131" t="str">
        <f t="shared" ref="E131:E162" si="18">IFERROR(_xlfn.NUMBERVALUE(LEFT(B131,SEARCH(" ",B131,1)-1)),"")</f>
        <v/>
      </c>
      <c r="F131" t="str">
        <f t="shared" si="9"/>
        <v/>
      </c>
    </row>
    <row r="132" spans="2:6">
      <c r="B132" s="1"/>
      <c r="C132" s="3"/>
      <c r="D132" t="str">
        <f t="shared" si="17"/>
        <v/>
      </c>
      <c r="E132" t="str">
        <f t="shared" si="18"/>
        <v/>
      </c>
      <c r="F132" t="str">
        <f t="shared" si="9"/>
        <v/>
      </c>
    </row>
    <row r="133" spans="2:6">
      <c r="B133" s="1"/>
      <c r="C133" s="3"/>
      <c r="D133" t="str">
        <f t="shared" si="17"/>
        <v/>
      </c>
      <c r="E133" t="str">
        <f t="shared" si="18"/>
        <v/>
      </c>
      <c r="F133" t="str">
        <f t="shared" si="9"/>
        <v/>
      </c>
    </row>
    <row r="134" spans="2:6">
      <c r="B134" s="1"/>
      <c r="C134" s="3"/>
      <c r="D134" t="str">
        <f t="shared" si="17"/>
        <v/>
      </c>
      <c r="E134" t="str">
        <f t="shared" si="18"/>
        <v/>
      </c>
      <c r="F134" t="str">
        <f t="shared" si="9"/>
        <v/>
      </c>
    </row>
    <row r="135" spans="2:6">
      <c r="B135" s="1"/>
      <c r="C135" s="3"/>
      <c r="D135" t="str">
        <f t="shared" si="17"/>
        <v/>
      </c>
      <c r="E135" t="str">
        <f t="shared" si="18"/>
        <v/>
      </c>
      <c r="F135" t="str">
        <f t="shared" si="9"/>
        <v/>
      </c>
    </row>
    <row r="136" spans="2:6">
      <c r="B136" s="1"/>
      <c r="C136" s="3"/>
      <c r="D136" t="str">
        <f t="shared" si="17"/>
        <v/>
      </c>
      <c r="E136" t="str">
        <f t="shared" si="18"/>
        <v/>
      </c>
      <c r="F136" t="str">
        <f t="shared" si="9"/>
        <v/>
      </c>
    </row>
    <row r="137" spans="2:6">
      <c r="B137" s="1"/>
      <c r="C137" s="3"/>
      <c r="D137" t="str">
        <f t="shared" si="17"/>
        <v/>
      </c>
      <c r="E137" t="str">
        <f t="shared" si="18"/>
        <v/>
      </c>
      <c r="F137" t="str">
        <f t="shared" si="9"/>
        <v/>
      </c>
    </row>
    <row r="138" spans="2:6">
      <c r="B138" s="1"/>
      <c r="C138" s="3"/>
      <c r="D138" t="str">
        <f t="shared" si="17"/>
        <v/>
      </c>
      <c r="E138" t="str">
        <f t="shared" si="18"/>
        <v/>
      </c>
      <c r="F138" t="str">
        <f t="shared" si="9"/>
        <v/>
      </c>
    </row>
    <row r="139" spans="2:6">
      <c r="B139" s="1"/>
      <c r="C139" s="3"/>
      <c r="D139" t="str">
        <f t="shared" si="17"/>
        <v/>
      </c>
      <c r="E139" t="str">
        <f t="shared" si="18"/>
        <v/>
      </c>
      <c r="F139" t="str">
        <f t="shared" si="9"/>
        <v/>
      </c>
    </row>
    <row r="140" spans="2:6">
      <c r="B140" s="1"/>
      <c r="C140" s="3"/>
      <c r="D140" t="str">
        <f t="shared" si="17"/>
        <v/>
      </c>
      <c r="E140" t="str">
        <f t="shared" si="18"/>
        <v/>
      </c>
      <c r="F140" t="str">
        <f t="shared" si="9"/>
        <v/>
      </c>
    </row>
    <row r="141" spans="2:6">
      <c r="B141" s="1"/>
      <c r="C141" s="3"/>
      <c r="D141" t="str">
        <f t="shared" si="17"/>
        <v/>
      </c>
      <c r="E141" t="str">
        <f t="shared" si="18"/>
        <v/>
      </c>
      <c r="F141" t="str">
        <f t="shared" si="9"/>
        <v/>
      </c>
    </row>
    <row r="142" spans="2:6">
      <c r="B142" s="1"/>
      <c r="C142" s="3"/>
      <c r="D142" t="str">
        <f t="shared" si="17"/>
        <v/>
      </c>
      <c r="E142" t="str">
        <f t="shared" si="18"/>
        <v/>
      </c>
      <c r="F142" t="str">
        <f t="shared" si="9"/>
        <v/>
      </c>
    </row>
    <row r="143" spans="2:6">
      <c r="B143" s="1"/>
      <c r="C143" s="3"/>
      <c r="D143" t="str">
        <f t="shared" si="17"/>
        <v/>
      </c>
      <c r="E143" t="str">
        <f t="shared" si="18"/>
        <v/>
      </c>
      <c r="F143" t="str">
        <f t="shared" ref="F143:F202" si="19">IF(B143="","",IF(ISERROR(FIND(".",B143)),B143,RIGHT(B143,LEN(B143)-FIND("~",SUBSTITUTE(B143,".","~",LEN(B143)-LEN(SUBSTITUTE(B143,".","")))))))</f>
        <v/>
      </c>
    </row>
    <row r="144" spans="2:6">
      <c r="B144" s="1"/>
      <c r="C144" s="3"/>
      <c r="D144" t="str">
        <f t="shared" si="17"/>
        <v/>
      </c>
      <c r="E144" t="str">
        <f t="shared" si="18"/>
        <v/>
      </c>
      <c r="F144" t="str">
        <f t="shared" si="19"/>
        <v/>
      </c>
    </row>
    <row r="145" spans="2:6">
      <c r="B145" s="1"/>
      <c r="C145" s="3"/>
      <c r="D145" t="str">
        <f t="shared" si="17"/>
        <v/>
      </c>
      <c r="E145" t="str">
        <f t="shared" si="18"/>
        <v/>
      </c>
      <c r="F145" t="str">
        <f t="shared" si="19"/>
        <v/>
      </c>
    </row>
    <row r="146" spans="2:6">
      <c r="B146" s="1"/>
      <c r="C146" s="3"/>
      <c r="D146" t="str">
        <f t="shared" si="17"/>
        <v/>
      </c>
      <c r="E146" t="str">
        <f t="shared" si="18"/>
        <v/>
      </c>
      <c r="F146" t="str">
        <f t="shared" si="19"/>
        <v/>
      </c>
    </row>
    <row r="147" spans="2:6">
      <c r="B147" s="1"/>
      <c r="C147" s="3"/>
      <c r="D147" t="str">
        <f t="shared" si="17"/>
        <v/>
      </c>
      <c r="E147" t="str">
        <f t="shared" si="18"/>
        <v/>
      </c>
      <c r="F147" t="str">
        <f t="shared" si="19"/>
        <v/>
      </c>
    </row>
    <row r="148" spans="2:6">
      <c r="B148" s="1"/>
      <c r="C148" s="3"/>
      <c r="D148" t="str">
        <f t="shared" si="17"/>
        <v/>
      </c>
      <c r="E148" t="str">
        <f t="shared" si="18"/>
        <v/>
      </c>
      <c r="F148" t="str">
        <f t="shared" si="19"/>
        <v/>
      </c>
    </row>
    <row r="149" spans="2:6">
      <c r="B149" s="1"/>
      <c r="C149" s="3"/>
      <c r="D149" t="str">
        <f t="shared" si="17"/>
        <v/>
      </c>
      <c r="E149" t="str">
        <f t="shared" si="18"/>
        <v/>
      </c>
      <c r="F149" t="str">
        <f t="shared" si="19"/>
        <v/>
      </c>
    </row>
    <row r="150" spans="2:6">
      <c r="B150" s="1"/>
      <c r="C150" s="3"/>
      <c r="D150" t="str">
        <f t="shared" si="17"/>
        <v/>
      </c>
      <c r="E150" t="str">
        <f t="shared" si="18"/>
        <v/>
      </c>
      <c r="F150" t="str">
        <f t="shared" si="19"/>
        <v/>
      </c>
    </row>
    <row r="151" spans="2:6">
      <c r="B151" s="1"/>
      <c r="C151" s="3"/>
      <c r="D151" t="str">
        <f t="shared" si="17"/>
        <v/>
      </c>
      <c r="E151" t="str">
        <f t="shared" si="18"/>
        <v/>
      </c>
      <c r="F151" t="str">
        <f t="shared" si="19"/>
        <v/>
      </c>
    </row>
    <row r="152" spans="2:6">
      <c r="B152" s="1"/>
      <c r="C152" s="3"/>
      <c r="D152" t="str">
        <f t="shared" si="17"/>
        <v/>
      </c>
      <c r="E152" t="str">
        <f t="shared" si="18"/>
        <v/>
      </c>
      <c r="F152" t="str">
        <f t="shared" si="19"/>
        <v/>
      </c>
    </row>
    <row r="153" spans="2:6">
      <c r="B153" s="1"/>
      <c r="C153" s="3"/>
      <c r="D153" t="str">
        <f t="shared" si="17"/>
        <v/>
      </c>
      <c r="E153" t="str">
        <f t="shared" si="18"/>
        <v/>
      </c>
      <c r="F153" t="str">
        <f t="shared" si="19"/>
        <v/>
      </c>
    </row>
    <row r="154" spans="2:6">
      <c r="B154" s="1"/>
      <c r="C154" s="3"/>
      <c r="D154" t="str">
        <f t="shared" si="17"/>
        <v/>
      </c>
      <c r="E154" t="str">
        <f t="shared" si="18"/>
        <v/>
      </c>
      <c r="F154" t="str">
        <f t="shared" si="19"/>
        <v/>
      </c>
    </row>
    <row r="155" spans="2:6">
      <c r="B155" s="1"/>
      <c r="C155" s="3"/>
      <c r="D155" t="str">
        <f t="shared" si="17"/>
        <v/>
      </c>
      <c r="E155" t="str">
        <f t="shared" si="18"/>
        <v/>
      </c>
      <c r="F155" t="str">
        <f t="shared" si="19"/>
        <v/>
      </c>
    </row>
    <row r="156" spans="2:6">
      <c r="B156" s="1"/>
      <c r="C156" s="3"/>
      <c r="D156" t="str">
        <f t="shared" si="17"/>
        <v/>
      </c>
      <c r="E156" t="str">
        <f t="shared" si="18"/>
        <v/>
      </c>
      <c r="F156" t="str">
        <f t="shared" si="19"/>
        <v/>
      </c>
    </row>
    <row r="157" spans="2:6">
      <c r="B157" s="1"/>
      <c r="C157" s="3"/>
      <c r="D157" t="str">
        <f t="shared" si="17"/>
        <v/>
      </c>
      <c r="E157" t="str">
        <f t="shared" si="18"/>
        <v/>
      </c>
      <c r="F157" t="str">
        <f t="shared" si="19"/>
        <v/>
      </c>
    </row>
    <row r="158" spans="2:6">
      <c r="B158" s="1"/>
      <c r="C158" s="3"/>
      <c r="D158" t="str">
        <f t="shared" si="17"/>
        <v/>
      </c>
      <c r="E158" t="str">
        <f t="shared" si="18"/>
        <v/>
      </c>
      <c r="F158" t="str">
        <f t="shared" si="19"/>
        <v/>
      </c>
    </row>
    <row r="159" spans="2:6">
      <c r="B159" s="1"/>
      <c r="C159" s="3"/>
      <c r="D159" t="str">
        <f t="shared" si="17"/>
        <v/>
      </c>
      <c r="E159" t="str">
        <f t="shared" si="18"/>
        <v/>
      </c>
      <c r="F159" t="str">
        <f t="shared" si="19"/>
        <v/>
      </c>
    </row>
    <row r="160" spans="2:6">
      <c r="B160" s="1"/>
      <c r="C160" s="3"/>
      <c r="D160" t="str">
        <f t="shared" si="17"/>
        <v/>
      </c>
      <c r="E160" t="str">
        <f t="shared" si="18"/>
        <v/>
      </c>
      <c r="F160" t="str">
        <f t="shared" si="19"/>
        <v/>
      </c>
    </row>
    <row r="161" spans="2:6">
      <c r="B161" s="1"/>
      <c r="C161" s="3"/>
      <c r="D161" t="str">
        <f t="shared" si="17"/>
        <v/>
      </c>
      <c r="E161" t="str">
        <f t="shared" si="18"/>
        <v/>
      </c>
      <c r="F161" t="str">
        <f t="shared" si="19"/>
        <v/>
      </c>
    </row>
    <row r="162" spans="2:6">
      <c r="B162" s="1"/>
      <c r="C162" s="3"/>
      <c r="D162" t="str">
        <f t="shared" si="17"/>
        <v/>
      </c>
      <c r="E162" t="str">
        <f t="shared" si="18"/>
        <v/>
      </c>
      <c r="F162" t="str">
        <f t="shared" si="19"/>
        <v/>
      </c>
    </row>
    <row r="163" spans="2:6">
      <c r="B163" s="1"/>
      <c r="C163" s="3"/>
      <c r="D163" t="str">
        <f t="shared" ref="D163:D194" si="20">IFERROR(IF(B163="","",C163&amp;"."&amp;F163),B163)</f>
        <v/>
      </c>
      <c r="E163" t="str">
        <f t="shared" ref="E163:E194" si="21">IFERROR(_xlfn.NUMBERVALUE(LEFT(B163,SEARCH(" ",B163,1)-1)),"")</f>
        <v/>
      </c>
      <c r="F163" t="str">
        <f t="shared" si="19"/>
        <v/>
      </c>
    </row>
    <row r="164" spans="2:6">
      <c r="B164" s="1"/>
      <c r="C164" s="3"/>
      <c r="D164" t="str">
        <f t="shared" si="20"/>
        <v/>
      </c>
      <c r="E164" t="str">
        <f t="shared" si="21"/>
        <v/>
      </c>
      <c r="F164" t="str">
        <f t="shared" si="19"/>
        <v/>
      </c>
    </row>
    <row r="165" spans="2:6">
      <c r="B165" s="1"/>
      <c r="C165" s="3"/>
      <c r="D165" t="str">
        <f t="shared" si="20"/>
        <v/>
      </c>
      <c r="E165" t="str">
        <f t="shared" si="21"/>
        <v/>
      </c>
      <c r="F165" t="str">
        <f t="shared" si="19"/>
        <v/>
      </c>
    </row>
    <row r="166" spans="2:6">
      <c r="B166" s="1"/>
      <c r="C166" s="3"/>
      <c r="D166" t="str">
        <f t="shared" si="20"/>
        <v/>
      </c>
      <c r="E166" t="str">
        <f t="shared" si="21"/>
        <v/>
      </c>
      <c r="F166" t="str">
        <f t="shared" si="19"/>
        <v/>
      </c>
    </row>
    <row r="167" spans="2:6">
      <c r="B167" s="1"/>
      <c r="C167" s="3"/>
      <c r="D167" t="str">
        <f t="shared" si="20"/>
        <v/>
      </c>
      <c r="E167" t="str">
        <f t="shared" si="21"/>
        <v/>
      </c>
      <c r="F167" t="str">
        <f t="shared" si="19"/>
        <v/>
      </c>
    </row>
    <row r="168" spans="2:6">
      <c r="B168" s="1"/>
      <c r="C168" s="3"/>
      <c r="D168" t="str">
        <f t="shared" si="20"/>
        <v/>
      </c>
      <c r="E168" t="str">
        <f t="shared" si="21"/>
        <v/>
      </c>
      <c r="F168" t="str">
        <f t="shared" si="19"/>
        <v/>
      </c>
    </row>
    <row r="169" spans="2:6">
      <c r="B169" s="1"/>
      <c r="C169" s="3"/>
      <c r="D169" t="str">
        <f t="shared" si="20"/>
        <v/>
      </c>
      <c r="E169" t="str">
        <f t="shared" si="21"/>
        <v/>
      </c>
      <c r="F169" t="str">
        <f t="shared" si="19"/>
        <v/>
      </c>
    </row>
    <row r="170" spans="2:6">
      <c r="B170" s="1"/>
      <c r="C170" s="3"/>
      <c r="D170" t="str">
        <f t="shared" si="20"/>
        <v/>
      </c>
      <c r="E170" t="str">
        <f t="shared" si="21"/>
        <v/>
      </c>
      <c r="F170" t="str">
        <f t="shared" si="19"/>
        <v/>
      </c>
    </row>
    <row r="171" spans="2:6">
      <c r="B171" s="1"/>
      <c r="C171" s="3"/>
      <c r="D171" t="str">
        <f t="shared" si="20"/>
        <v/>
      </c>
      <c r="E171" t="str">
        <f t="shared" si="21"/>
        <v/>
      </c>
      <c r="F171" t="str">
        <f t="shared" si="19"/>
        <v/>
      </c>
    </row>
    <row r="172" spans="2:6">
      <c r="B172" s="1"/>
      <c r="C172" s="3"/>
      <c r="D172" t="str">
        <f t="shared" si="20"/>
        <v/>
      </c>
      <c r="E172" t="str">
        <f t="shared" si="21"/>
        <v/>
      </c>
      <c r="F172" t="str">
        <f t="shared" si="19"/>
        <v/>
      </c>
    </row>
    <row r="173" spans="2:6">
      <c r="B173" s="1"/>
      <c r="C173" s="3"/>
      <c r="D173" t="str">
        <f t="shared" si="20"/>
        <v/>
      </c>
      <c r="E173" t="str">
        <f t="shared" si="21"/>
        <v/>
      </c>
      <c r="F173" t="str">
        <f t="shared" si="19"/>
        <v/>
      </c>
    </row>
    <row r="174" spans="2:6">
      <c r="B174" s="1"/>
      <c r="C174" s="3"/>
      <c r="D174" t="str">
        <f t="shared" si="20"/>
        <v/>
      </c>
      <c r="E174" t="str">
        <f t="shared" si="21"/>
        <v/>
      </c>
      <c r="F174" t="str">
        <f t="shared" si="19"/>
        <v/>
      </c>
    </row>
    <row r="175" spans="2:6">
      <c r="B175" s="1"/>
      <c r="C175" s="3"/>
      <c r="D175" t="str">
        <f t="shared" si="20"/>
        <v/>
      </c>
      <c r="E175" t="str">
        <f t="shared" si="21"/>
        <v/>
      </c>
      <c r="F175" t="str">
        <f t="shared" si="19"/>
        <v/>
      </c>
    </row>
    <row r="176" spans="2:6">
      <c r="B176" s="1"/>
      <c r="C176" s="3"/>
      <c r="D176" t="str">
        <f t="shared" si="20"/>
        <v/>
      </c>
      <c r="E176" t="str">
        <f t="shared" si="21"/>
        <v/>
      </c>
      <c r="F176" t="str">
        <f t="shared" si="19"/>
        <v/>
      </c>
    </row>
    <row r="177" spans="2:6">
      <c r="B177" s="1"/>
      <c r="C177" s="3"/>
      <c r="D177" t="str">
        <f t="shared" si="20"/>
        <v/>
      </c>
      <c r="E177" t="str">
        <f t="shared" si="21"/>
        <v/>
      </c>
      <c r="F177" t="str">
        <f t="shared" si="19"/>
        <v/>
      </c>
    </row>
    <row r="178" spans="2:6">
      <c r="B178" s="1"/>
      <c r="C178" s="3"/>
      <c r="D178" t="str">
        <f t="shared" si="20"/>
        <v/>
      </c>
      <c r="E178" t="str">
        <f t="shared" si="21"/>
        <v/>
      </c>
      <c r="F178" t="str">
        <f t="shared" si="19"/>
        <v/>
      </c>
    </row>
    <row r="179" spans="2:6">
      <c r="B179" s="1"/>
      <c r="C179" s="3"/>
      <c r="D179" t="str">
        <f t="shared" si="20"/>
        <v/>
      </c>
      <c r="E179" t="str">
        <f t="shared" si="21"/>
        <v/>
      </c>
      <c r="F179" t="str">
        <f t="shared" si="19"/>
        <v/>
      </c>
    </row>
    <row r="180" spans="2:6">
      <c r="B180" s="1"/>
      <c r="C180" s="3"/>
      <c r="D180" t="str">
        <f t="shared" si="20"/>
        <v/>
      </c>
      <c r="E180" t="str">
        <f t="shared" si="21"/>
        <v/>
      </c>
      <c r="F180" t="str">
        <f t="shared" si="19"/>
        <v/>
      </c>
    </row>
    <row r="181" spans="2:6">
      <c r="B181" s="1"/>
      <c r="C181" s="3"/>
      <c r="D181" t="str">
        <f t="shared" si="20"/>
        <v/>
      </c>
      <c r="E181" t="str">
        <f t="shared" si="21"/>
        <v/>
      </c>
      <c r="F181" t="str">
        <f t="shared" si="19"/>
        <v/>
      </c>
    </row>
    <row r="182" spans="2:6">
      <c r="B182" s="1"/>
      <c r="C182" s="3"/>
      <c r="D182" t="str">
        <f t="shared" si="20"/>
        <v/>
      </c>
      <c r="E182" t="str">
        <f t="shared" si="21"/>
        <v/>
      </c>
      <c r="F182" t="str">
        <f t="shared" si="19"/>
        <v/>
      </c>
    </row>
    <row r="183" spans="2:6">
      <c r="B183" s="1"/>
      <c r="C183" s="3"/>
      <c r="D183" t="str">
        <f t="shared" si="20"/>
        <v/>
      </c>
      <c r="E183" t="str">
        <f t="shared" si="21"/>
        <v/>
      </c>
      <c r="F183" t="str">
        <f t="shared" si="19"/>
        <v/>
      </c>
    </row>
    <row r="184" spans="2:6">
      <c r="B184" s="1"/>
      <c r="C184" s="3"/>
      <c r="D184" t="str">
        <f t="shared" si="20"/>
        <v/>
      </c>
      <c r="E184" t="str">
        <f t="shared" si="21"/>
        <v/>
      </c>
      <c r="F184" t="str">
        <f t="shared" si="19"/>
        <v/>
      </c>
    </row>
    <row r="185" spans="2:6">
      <c r="B185" s="1"/>
      <c r="C185" s="3"/>
      <c r="D185" t="str">
        <f t="shared" si="20"/>
        <v/>
      </c>
      <c r="E185" t="str">
        <f t="shared" si="21"/>
        <v/>
      </c>
      <c r="F185" t="str">
        <f t="shared" si="19"/>
        <v/>
      </c>
    </row>
    <row r="186" spans="2:6">
      <c r="B186" s="1"/>
      <c r="C186" s="3"/>
      <c r="D186" t="str">
        <f t="shared" si="20"/>
        <v/>
      </c>
      <c r="E186" t="str">
        <f t="shared" si="21"/>
        <v/>
      </c>
      <c r="F186" t="str">
        <f t="shared" si="19"/>
        <v/>
      </c>
    </row>
    <row r="187" spans="2:6">
      <c r="B187" s="1"/>
      <c r="C187" s="3"/>
      <c r="D187" t="str">
        <f t="shared" si="20"/>
        <v/>
      </c>
      <c r="E187" t="str">
        <f t="shared" si="21"/>
        <v/>
      </c>
      <c r="F187" t="str">
        <f t="shared" si="19"/>
        <v/>
      </c>
    </row>
    <row r="188" spans="2:6">
      <c r="B188" s="1"/>
      <c r="C188" s="3"/>
      <c r="D188" t="str">
        <f t="shared" si="20"/>
        <v/>
      </c>
      <c r="E188" t="str">
        <f t="shared" si="21"/>
        <v/>
      </c>
      <c r="F188" t="str">
        <f t="shared" si="19"/>
        <v/>
      </c>
    </row>
    <row r="189" spans="2:6">
      <c r="B189" s="1"/>
      <c r="C189" s="3"/>
      <c r="D189" t="str">
        <f t="shared" si="20"/>
        <v/>
      </c>
      <c r="E189" t="str">
        <f t="shared" si="21"/>
        <v/>
      </c>
      <c r="F189" t="str">
        <f t="shared" si="19"/>
        <v/>
      </c>
    </row>
    <row r="190" spans="2:6">
      <c r="B190" s="1"/>
      <c r="C190" s="3"/>
      <c r="D190" t="str">
        <f t="shared" si="20"/>
        <v/>
      </c>
      <c r="E190" t="str">
        <f t="shared" si="21"/>
        <v/>
      </c>
      <c r="F190" t="str">
        <f t="shared" si="19"/>
        <v/>
      </c>
    </row>
    <row r="191" spans="2:6">
      <c r="B191" s="1"/>
      <c r="C191" s="3"/>
      <c r="D191" t="str">
        <f t="shared" si="20"/>
        <v/>
      </c>
      <c r="E191" t="str">
        <f t="shared" si="21"/>
        <v/>
      </c>
      <c r="F191" t="str">
        <f t="shared" si="19"/>
        <v/>
      </c>
    </row>
    <row r="192" spans="2:6">
      <c r="B192" s="1"/>
      <c r="C192" s="3"/>
      <c r="D192" t="str">
        <f t="shared" si="20"/>
        <v/>
      </c>
      <c r="E192" t="str">
        <f t="shared" si="21"/>
        <v/>
      </c>
      <c r="F192" t="str">
        <f t="shared" si="19"/>
        <v/>
      </c>
    </row>
    <row r="193" spans="2:6">
      <c r="B193" s="1"/>
      <c r="C193" s="3"/>
      <c r="D193" t="str">
        <f t="shared" si="20"/>
        <v/>
      </c>
      <c r="E193" t="str">
        <f t="shared" si="21"/>
        <v/>
      </c>
      <c r="F193" t="str">
        <f t="shared" si="19"/>
        <v/>
      </c>
    </row>
    <row r="194" spans="2:6">
      <c r="B194" s="1"/>
      <c r="C194" s="3"/>
      <c r="D194" t="str">
        <f t="shared" si="20"/>
        <v/>
      </c>
      <c r="E194" t="str">
        <f t="shared" si="21"/>
        <v/>
      </c>
      <c r="F194" t="str">
        <f t="shared" si="19"/>
        <v/>
      </c>
    </row>
    <row r="195" spans="2:6">
      <c r="B195" s="1"/>
      <c r="C195" s="3"/>
      <c r="D195" t="str">
        <f t="shared" ref="D195:D202" si="22">IFERROR(IF(B195="","",C195&amp;"."&amp;F195),B195)</f>
        <v/>
      </c>
      <c r="E195" t="str">
        <f t="shared" ref="E195:E202" si="23">IFERROR(_xlfn.NUMBERVALUE(LEFT(B195,SEARCH(" ",B195,1)-1)),"")</f>
        <v/>
      </c>
      <c r="F195" t="str">
        <f t="shared" si="19"/>
        <v/>
      </c>
    </row>
    <row r="196" spans="2:6">
      <c r="B196" s="1"/>
      <c r="C196" s="3"/>
      <c r="D196" t="str">
        <f t="shared" si="22"/>
        <v/>
      </c>
      <c r="E196" t="str">
        <f t="shared" si="23"/>
        <v/>
      </c>
      <c r="F196" t="str">
        <f t="shared" si="19"/>
        <v/>
      </c>
    </row>
    <row r="197" spans="2:6">
      <c r="B197" s="1"/>
      <c r="C197" s="3"/>
      <c r="D197" t="str">
        <f t="shared" si="22"/>
        <v/>
      </c>
      <c r="E197" t="str">
        <f t="shared" si="23"/>
        <v/>
      </c>
      <c r="F197" t="str">
        <f t="shared" si="19"/>
        <v/>
      </c>
    </row>
    <row r="198" spans="2:6">
      <c r="B198" s="1"/>
      <c r="C198" s="3"/>
      <c r="D198" t="str">
        <f t="shared" si="22"/>
        <v/>
      </c>
      <c r="E198" t="str">
        <f t="shared" si="23"/>
        <v/>
      </c>
      <c r="F198" t="str">
        <f t="shared" si="19"/>
        <v/>
      </c>
    </row>
    <row r="199" spans="2:6">
      <c r="B199" s="1"/>
      <c r="C199" s="3"/>
      <c r="D199" t="str">
        <f t="shared" si="22"/>
        <v/>
      </c>
      <c r="E199" t="str">
        <f t="shared" si="23"/>
        <v/>
      </c>
      <c r="F199" t="str">
        <f t="shared" si="19"/>
        <v/>
      </c>
    </row>
    <row r="200" spans="2:6">
      <c r="B200" s="1"/>
      <c r="C200" s="3"/>
      <c r="D200" t="str">
        <f t="shared" si="22"/>
        <v/>
      </c>
      <c r="E200" t="str">
        <f t="shared" si="23"/>
        <v/>
      </c>
      <c r="F200" t="str">
        <f t="shared" si="19"/>
        <v/>
      </c>
    </row>
    <row r="201" spans="2:6">
      <c r="B201" s="1"/>
      <c r="C201" s="3"/>
      <c r="D201" t="str">
        <f t="shared" si="22"/>
        <v/>
      </c>
      <c r="E201" t="str">
        <f t="shared" si="23"/>
        <v/>
      </c>
      <c r="F201" t="str">
        <f t="shared" si="19"/>
        <v/>
      </c>
    </row>
    <row r="202" spans="2:6">
      <c r="D202" t="str">
        <f t="shared" si="22"/>
        <v/>
      </c>
      <c r="E202" t="str">
        <f t="shared" si="23"/>
        <v/>
      </c>
      <c r="F202" t="str">
        <f t="shared" si="19"/>
        <v/>
      </c>
    </row>
  </sheetData>
  <sortState xmlns:xlrd2="http://schemas.microsoft.com/office/spreadsheetml/2017/richdata2" ref="B3:E5">
    <sortCondition ref="E3"/>
  </sortState>
  <mergeCells count="1">
    <mergeCell ref="N2:U14"/>
  </mergeCells>
  <conditionalFormatting sqref="B3:B201">
    <cfRule type="expression" dxfId="1" priority="3">
      <formula>OR(B3="N/A",ISERROR(B3))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file">
                <anchor moveWithCells="1" sizeWithCells="1">
                  <from>
                    <xdr:col>6</xdr:col>
                    <xdr:colOff>641350</xdr:colOff>
                    <xdr:row>2</xdr:row>
                    <xdr:rowOff>184150</xdr:rowOff>
                  </from>
                  <to>
                    <xdr:col>9</xdr:col>
                    <xdr:colOff>603250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name_files">
                <anchor moveWithCells="1" sizeWithCells="1">
                  <from>
                    <xdr:col>6</xdr:col>
                    <xdr:colOff>641350</xdr:colOff>
                    <xdr:row>5</xdr:row>
                    <xdr:rowOff>114300</xdr:rowOff>
                  </from>
                  <to>
                    <xdr:col>9</xdr:col>
                    <xdr:colOff>590550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C6138-F7A9-4C2A-9F9C-23BB873C4A2F}">
  <sheetPr codeName="Sheet2"/>
  <dimension ref="A1:G112"/>
  <sheetViews>
    <sheetView zoomScale="55" zoomScaleNormal="55" workbookViewId="0">
      <selection activeCell="B51" activeCellId="2" sqref="B1:F6 B28:F47 B51:F51"/>
    </sheetView>
  </sheetViews>
  <sheetFormatPr defaultRowHeight="14.5"/>
  <cols>
    <col min="1" max="1" width="55.54296875" style="9" bestFit="1" customWidth="1"/>
    <col min="2" max="2" width="14.81640625" style="9" customWidth="1"/>
    <col min="3" max="3" width="15.7265625" style="9" customWidth="1"/>
    <col min="4" max="4" width="21.36328125" style="9" bestFit="1" customWidth="1"/>
    <col min="5" max="5" width="13.6328125" style="9" customWidth="1"/>
    <col min="6" max="6" width="15.1796875" style="9" customWidth="1"/>
    <col min="7" max="16384" width="8.7265625" style="9"/>
  </cols>
  <sheetData>
    <row r="1" spans="1:6" ht="37.5" customHeight="1">
      <c r="A1" s="10" t="s">
        <v>58</v>
      </c>
      <c r="B1" s="10" t="s">
        <v>59</v>
      </c>
      <c r="C1" s="10" t="s">
        <v>60</v>
      </c>
      <c r="D1" s="10" t="s">
        <v>61</v>
      </c>
      <c r="E1" s="10" t="s">
        <v>64</v>
      </c>
      <c r="F1" s="10" t="s">
        <v>63</v>
      </c>
    </row>
    <row r="2" spans="1:6">
      <c r="A2" s="7" t="s">
        <v>28</v>
      </c>
      <c r="B2" s="8" t="str" cm="1">
        <f t="array" ref="B2">INDEX(_xlfn.TEXTSPLIT(A2," "),2)</f>
        <v>Hussmann</v>
      </c>
      <c r="C2" s="8" t="str" cm="1">
        <f t="array" ref="C2">INDEX(_xlfn.TEXTSPLIT(A2," "),3)</f>
        <v>MPD216-4</v>
      </c>
      <c r="D2" s="8" t="str" cm="1">
        <f t="array" ref="D2">INDEX(_xlfn.TEXTSPLIT(A2," "),4)</f>
        <v>SZ35033</v>
      </c>
      <c r="E2" s="9" t="s">
        <v>62</v>
      </c>
      <c r="F2" s="9">
        <v>227765</v>
      </c>
    </row>
    <row r="3" spans="1:6">
      <c r="A3" s="7" t="s">
        <v>39</v>
      </c>
      <c r="B3" s="8" t="str" cm="1">
        <f t="array" ref="B3">INDEX(_xlfn.TEXTSPLIT(A3," "),2)</f>
        <v>Hussmann</v>
      </c>
      <c r="C3" s="8" t="str" cm="1">
        <f t="array" ref="C3">INDEX(_xlfn.TEXTSPLIT(A3," "),3)</f>
        <v>MPD216-4</v>
      </c>
      <c r="D3" s="8" t="str" cm="1">
        <f t="array" ref="D3">INDEX(_xlfn.TEXTSPLIT(A3," "),4)</f>
        <v>SZ35034</v>
      </c>
      <c r="E3" s="9" t="s">
        <v>62</v>
      </c>
      <c r="F3" s="9">
        <v>227765</v>
      </c>
    </row>
    <row r="4" spans="1:6">
      <c r="A4" s="7" t="s">
        <v>49</v>
      </c>
      <c r="B4" s="8" t="str" cm="1">
        <f t="array" ref="B4">INDEX(_xlfn.TEXTSPLIT(A4," "),2)</f>
        <v>Hussmann</v>
      </c>
      <c r="C4" s="8" t="str" cm="1">
        <f t="array" ref="C4">INDEX(_xlfn.TEXTSPLIT(A4," "),3)</f>
        <v>MPD216-6</v>
      </c>
      <c r="D4" s="8" t="str" cm="1">
        <f t="array" ref="D4">INDEX(_xlfn.TEXTSPLIT(A4," "),4)</f>
        <v>SZ35036</v>
      </c>
      <c r="E4" s="9" t="s">
        <v>62</v>
      </c>
      <c r="F4" s="9">
        <v>227765</v>
      </c>
    </row>
    <row r="5" spans="1:6">
      <c r="A5" s="7" t="s">
        <v>52</v>
      </c>
      <c r="B5" s="8" t="str" cm="1">
        <f t="array" ref="B5">INDEX(_xlfn.TEXTSPLIT(A5," "),2)</f>
        <v>Hussmann</v>
      </c>
      <c r="C5" s="8" t="str" cm="1">
        <f t="array" ref="C5">INDEX(_xlfn.TEXTSPLIT(A5," "),3)</f>
        <v>MPD216-6</v>
      </c>
      <c r="D5" s="8" t="str" cm="1">
        <f t="array" ref="D5">INDEX(_xlfn.TEXTSPLIT(A5," "),4)</f>
        <v>SZ35038</v>
      </c>
      <c r="E5" s="9" t="s">
        <v>62</v>
      </c>
      <c r="F5" s="9">
        <v>227765</v>
      </c>
    </row>
    <row r="6" spans="1:6">
      <c r="A6" s="7" t="s">
        <v>53</v>
      </c>
      <c r="B6" s="8" t="str" cm="1">
        <f t="array" ref="B6">INDEX(_xlfn.TEXTSPLIT(A6," "),2)</f>
        <v>Hussmann</v>
      </c>
      <c r="C6" s="8" t="str" cm="1">
        <f t="array" ref="C6">INDEX(_xlfn.TEXTSPLIT(A6," "),3)</f>
        <v>MPD216-3</v>
      </c>
      <c r="D6" s="8" t="str" cm="1">
        <f t="array" ref="D6">INDEX(_xlfn.TEXTSPLIT(A6," "),4)</f>
        <v>SZ35035</v>
      </c>
      <c r="E6" s="9" t="s">
        <v>62</v>
      </c>
      <c r="F6" s="9">
        <v>227765</v>
      </c>
    </row>
    <row r="7" spans="1:6">
      <c r="A7" s="7" t="s">
        <v>54</v>
      </c>
      <c r="B7" s="11" t="str" cm="1">
        <f t="array" ref="B7">INDEX(_xlfn.TEXTSPLIT(A7," "),2)</f>
        <v>Hussmann</v>
      </c>
      <c r="C7" s="11" t="str" cm="1">
        <f t="array" ref="C7">INDEX(_xlfn.TEXTSPLIT(A7," "),3)</f>
        <v>MJPE216-4</v>
      </c>
      <c r="D7" s="11" t="str" cm="1">
        <f t="array" ref="D7">INDEX(_xlfn.TEXTSPLIT(A7," "),4)</f>
        <v>AKAV000871</v>
      </c>
      <c r="E7" s="12" t="s">
        <v>69</v>
      </c>
      <c r="F7" s="12" t="s">
        <v>70</v>
      </c>
    </row>
    <row r="8" spans="1:6">
      <c r="A8" s="7" t="s">
        <v>55</v>
      </c>
      <c r="B8" s="11" t="str" cm="1">
        <f t="array" ref="B8">INDEX(_xlfn.TEXTSPLIT(A8," "),2)</f>
        <v>Hussmann</v>
      </c>
      <c r="C8" s="11" t="str" cm="1">
        <f t="array" ref="C8">INDEX(_xlfn.TEXTSPLIT(A8," "),3)</f>
        <v>MJPE216-4</v>
      </c>
      <c r="D8" s="11" t="str" cm="1">
        <f t="array" ref="D8">INDEX(_xlfn.TEXTSPLIT(A8," "),4)</f>
        <v>AKAV000870</v>
      </c>
      <c r="E8" s="12" t="s">
        <v>69</v>
      </c>
      <c r="F8" s="12" t="s">
        <v>70</v>
      </c>
    </row>
    <row r="9" spans="1:6">
      <c r="A9" s="7" t="s">
        <v>8</v>
      </c>
      <c r="B9" s="11" t="str" cm="1">
        <f t="array" ref="B9">INDEX(_xlfn.TEXTSPLIT(A9," "),2)</f>
        <v>Hussmann</v>
      </c>
      <c r="C9" s="11" t="str" cm="1">
        <f t="array" ref="C9">INDEX(_xlfn.TEXTSPLIT(A9," "),3)</f>
        <v>MJPE216-4</v>
      </c>
      <c r="D9" s="11" t="str" cm="1">
        <f t="array" ref="D9">INDEX(_xlfn.TEXTSPLIT(A9," "),4)</f>
        <v>AKAV000875</v>
      </c>
      <c r="E9" s="12" t="s">
        <v>69</v>
      </c>
      <c r="F9" s="12" t="s">
        <v>70</v>
      </c>
    </row>
    <row r="10" spans="1:6">
      <c r="A10" s="7" t="s">
        <v>9</v>
      </c>
      <c r="B10" s="11" t="str" cm="1">
        <f t="array" ref="B10">INDEX(_xlfn.TEXTSPLIT(A10," "),2)</f>
        <v>Hussmann</v>
      </c>
      <c r="C10" s="11" t="str" cm="1">
        <f t="array" ref="C10">INDEX(_xlfn.TEXTSPLIT(A10," "),3)</f>
        <v>MJPE216-6</v>
      </c>
      <c r="D10" s="11" t="str" cm="1">
        <f t="array" ref="D10">INDEX(_xlfn.TEXTSPLIT(A10," "),4)</f>
        <v>AKAW001852</v>
      </c>
      <c r="E10" s="12" t="s">
        <v>69</v>
      </c>
      <c r="F10" s="12" t="s">
        <v>70</v>
      </c>
    </row>
    <row r="11" spans="1:6">
      <c r="A11" s="7" t="s">
        <v>10</v>
      </c>
      <c r="B11" s="11" t="str" cm="1">
        <f t="array" ref="B11">INDEX(_xlfn.TEXTSPLIT(A11," "),2)</f>
        <v>Hussmann</v>
      </c>
      <c r="C11" s="11" t="str" cm="1">
        <f t="array" ref="C11">INDEX(_xlfn.TEXTSPLIT(A11," "),3)</f>
        <v>MJPE216-4</v>
      </c>
      <c r="D11" s="11" t="str" cm="1">
        <f t="array" ref="D11">INDEX(_xlfn.TEXTSPLIT(A11," "),4)</f>
        <v>AKAV000874</v>
      </c>
      <c r="E11" s="12" t="s">
        <v>69</v>
      </c>
      <c r="F11" s="12" t="s">
        <v>70</v>
      </c>
    </row>
    <row r="12" spans="1:6">
      <c r="A12" s="7" t="s">
        <v>11</v>
      </c>
      <c r="B12" s="11" t="str" cm="1">
        <f t="array" ref="B12">INDEX(_xlfn.TEXTSPLIT(A12," "),2)</f>
        <v>Hussmann</v>
      </c>
      <c r="C12" s="11" t="str" cm="1">
        <f t="array" ref="C12">INDEX(_xlfn.TEXTSPLIT(A12," "),3)</f>
        <v>MJPE216-4</v>
      </c>
      <c r="D12" s="11" t="str" cm="1">
        <f t="array" ref="D12">INDEX(_xlfn.TEXTSPLIT(A12," "),4)</f>
        <v>AKAV000873</v>
      </c>
      <c r="E12" s="12" t="s">
        <v>69</v>
      </c>
      <c r="F12" s="12" t="s">
        <v>70</v>
      </c>
    </row>
    <row r="13" spans="1:6">
      <c r="A13" s="7" t="s">
        <v>12</v>
      </c>
      <c r="B13" s="11" t="str" cm="1">
        <f t="array" ref="B13">INDEX(_xlfn.TEXTSPLIT(A13," "),2)</f>
        <v>Hussmann</v>
      </c>
      <c r="C13" s="11" t="str" cm="1">
        <f t="array" ref="C13">INDEX(_xlfn.TEXTSPLIT(A13," "),3)</f>
        <v>MJPE216-6</v>
      </c>
      <c r="D13" s="11" t="str" cm="1">
        <f t="array" ref="D13">INDEX(_xlfn.TEXTSPLIT(A13," "),4)</f>
        <v>AKAW001845</v>
      </c>
      <c r="E13" s="12" t="s">
        <v>69</v>
      </c>
      <c r="F13" s="12" t="s">
        <v>70</v>
      </c>
    </row>
    <row r="14" spans="1:6">
      <c r="A14" s="7" t="s">
        <v>13</v>
      </c>
      <c r="B14" s="11" t="str" cm="1">
        <f t="array" ref="B14">INDEX(_xlfn.TEXTSPLIT(A14," "),2)</f>
        <v>Hussmann</v>
      </c>
      <c r="C14" s="11" t="str" cm="1">
        <f t="array" ref="C14">INDEX(_xlfn.TEXTSPLIT(A14," "),3)</f>
        <v>MJPE216-6</v>
      </c>
      <c r="D14" s="11" t="str" cm="1">
        <f t="array" ref="D14">INDEX(_xlfn.TEXTSPLIT(A14," "),4)</f>
        <v>AKAW001848</v>
      </c>
      <c r="E14" s="12" t="s">
        <v>69</v>
      </c>
      <c r="F14" s="12" t="s">
        <v>70</v>
      </c>
    </row>
    <row r="15" spans="1:6">
      <c r="A15" s="7" t="s">
        <v>14</v>
      </c>
      <c r="B15" s="11" t="str" cm="1">
        <f t="array" ref="B15">INDEX(_xlfn.TEXTSPLIT(A15," "),2)</f>
        <v>Hussmann</v>
      </c>
      <c r="C15" s="11" t="str" cm="1">
        <f t="array" ref="C15">INDEX(_xlfn.TEXTSPLIT(A15," "),3)</f>
        <v>RL-5</v>
      </c>
      <c r="D15" s="11" t="str" cm="1">
        <f t="array" ref="D15">INDEX(_xlfn.TEXTSPLIT(A15," "),4)</f>
        <v>MY12N105365</v>
      </c>
      <c r="E15" s="12" t="s">
        <v>69</v>
      </c>
      <c r="F15" s="12" t="s">
        <v>70</v>
      </c>
    </row>
    <row r="16" spans="1:6">
      <c r="A16" s="7" t="s">
        <v>15</v>
      </c>
      <c r="B16" s="11" t="str" cm="1">
        <f t="array" ref="B16">INDEX(_xlfn.TEXTSPLIT(A16," "),2)</f>
        <v>Hussmann</v>
      </c>
      <c r="C16" s="11" t="str" cm="1">
        <f t="array" ref="C16">INDEX(_xlfn.TEXTSPLIT(A16," "),3)</f>
        <v>RL-5</v>
      </c>
      <c r="D16" s="11" t="str" cm="1">
        <f t="array" ref="D16">INDEX(_xlfn.TEXTSPLIT(A16," "),4)</f>
        <v>MY12N105367</v>
      </c>
      <c r="E16" s="12" t="s">
        <v>69</v>
      </c>
      <c r="F16" s="12" t="s">
        <v>70</v>
      </c>
    </row>
    <row r="17" spans="1:6">
      <c r="A17" s="7" t="s">
        <v>16</v>
      </c>
      <c r="B17" s="11" t="str" cm="1">
        <f t="array" ref="B17">INDEX(_xlfn.TEXTSPLIT(A17," "),2)</f>
        <v>Hussmann</v>
      </c>
      <c r="C17" s="11" t="str" cm="1">
        <f t="array" ref="C17">INDEX(_xlfn.TEXTSPLIT(A17," "),3)</f>
        <v>RL-5</v>
      </c>
      <c r="D17" s="11" t="str" cm="1">
        <f t="array" ref="D17">INDEX(_xlfn.TEXTSPLIT(A17," "),4)</f>
        <v>MY12N105366</v>
      </c>
      <c r="E17" s="12" t="s">
        <v>69</v>
      </c>
      <c r="F17" s="12" t="s">
        <v>70</v>
      </c>
    </row>
    <row r="18" spans="1:6">
      <c r="A18" s="7" t="s">
        <v>17</v>
      </c>
      <c r="B18" s="11" t="str" cm="1">
        <f t="array" ref="B18">INDEX(_xlfn.TEXTSPLIT(A18," "),2)</f>
        <v>Hussmann</v>
      </c>
      <c r="C18" s="11" t="str" cm="1">
        <f t="array" ref="C18">INDEX(_xlfn.TEXTSPLIT(A18," "),3)</f>
        <v>RL-5</v>
      </c>
      <c r="D18" s="11" t="str" cm="1">
        <f t="array" ref="D18">INDEX(_xlfn.TEXTSPLIT(A18," "),4)</f>
        <v>MY12N105370</v>
      </c>
      <c r="E18" s="12" t="s">
        <v>69</v>
      </c>
      <c r="F18" s="12" t="s">
        <v>70</v>
      </c>
    </row>
    <row r="19" spans="1:6">
      <c r="A19" s="7" t="s">
        <v>18</v>
      </c>
      <c r="B19" s="11" t="str" cm="1">
        <f t="array" ref="B19">INDEX(_xlfn.TEXTSPLIT(A19," "),2)</f>
        <v>Hussmann</v>
      </c>
      <c r="C19" s="11" t="str" cm="1">
        <f t="array" ref="C19">INDEX(_xlfn.TEXTSPLIT(A19," "),3)</f>
        <v>RL-3</v>
      </c>
      <c r="D19" s="11" t="str" cm="1">
        <f t="array" ref="D19">INDEX(_xlfn.TEXTSPLIT(A19," "),4)</f>
        <v>MY12M104576</v>
      </c>
      <c r="E19" s="12" t="s">
        <v>69</v>
      </c>
      <c r="F19" s="12" t="s">
        <v>70</v>
      </c>
    </row>
    <row r="20" spans="1:6">
      <c r="A20" s="7" t="s">
        <v>19</v>
      </c>
      <c r="B20" s="11" t="str" cm="1">
        <f t="array" ref="B20">INDEX(_xlfn.TEXTSPLIT(A20," "),2)</f>
        <v>Hussmann</v>
      </c>
      <c r="C20" s="11" t="str" cm="1">
        <f t="array" ref="C20">INDEX(_xlfn.TEXTSPLIT(A20," "),3)</f>
        <v>MJPE216-4</v>
      </c>
      <c r="D20" s="11" t="str" cm="1">
        <f t="array" ref="D20">INDEX(_xlfn.TEXTSPLIT(A20," "),4)</f>
        <v>AKAV000872</v>
      </c>
      <c r="E20" s="12" t="s">
        <v>69</v>
      </c>
      <c r="F20" s="12" t="s">
        <v>70</v>
      </c>
    </row>
    <row r="21" spans="1:6">
      <c r="A21" s="7" t="s">
        <v>20</v>
      </c>
      <c r="B21" s="11" t="str" cm="1">
        <f t="array" ref="B21">INDEX(_xlfn.TEXTSPLIT(A21," "),2)</f>
        <v>Hussmann</v>
      </c>
      <c r="C21" s="11" t="str" cm="1">
        <f t="array" ref="C21">INDEX(_xlfn.TEXTSPLIT(A21," "),3)</f>
        <v>MJPE216-6</v>
      </c>
      <c r="D21" s="11" t="str" cm="1">
        <f t="array" ref="D21">INDEX(_xlfn.TEXTSPLIT(A21," "),4)</f>
        <v>AKAW001846</v>
      </c>
      <c r="E21" s="12" t="s">
        <v>69</v>
      </c>
      <c r="F21" s="12" t="s">
        <v>70</v>
      </c>
    </row>
    <row r="22" spans="1:6">
      <c r="A22" s="7" t="s">
        <v>21</v>
      </c>
      <c r="B22" s="11" t="str" cm="1">
        <f t="array" ref="B22">INDEX(_xlfn.TEXTSPLIT(A22," "),2)</f>
        <v>Hussmann</v>
      </c>
      <c r="C22" s="11" t="str" cm="1">
        <f t="array" ref="C22">INDEX(_xlfn.TEXTSPLIT(A22," "),3)</f>
        <v>MJPE216-6</v>
      </c>
      <c r="D22" s="11" t="str" cm="1">
        <f t="array" ref="D22">INDEX(_xlfn.TEXTSPLIT(A22," "),4)</f>
        <v>AKAW001847</v>
      </c>
      <c r="E22" s="12" t="s">
        <v>69</v>
      </c>
      <c r="F22" s="12" t="s">
        <v>70</v>
      </c>
    </row>
    <row r="23" spans="1:6">
      <c r="A23" s="7" t="s">
        <v>22</v>
      </c>
      <c r="B23" s="11" t="str" cm="1">
        <f t="array" ref="B23">INDEX(_xlfn.TEXTSPLIT(A23," "),2)</f>
        <v>Hussmann</v>
      </c>
      <c r="C23" s="11" t="str" cm="1">
        <f t="array" ref="C23">INDEX(_xlfn.TEXTSPLIT(A23," "),3)</f>
        <v>RL-5</v>
      </c>
      <c r="D23" s="11" t="str" cm="1">
        <f t="array" ref="D23">INDEX(_xlfn.TEXTSPLIT(A23," "),4)</f>
        <v>MY12N105372</v>
      </c>
      <c r="E23" s="12" t="s">
        <v>69</v>
      </c>
      <c r="F23" s="12" t="s">
        <v>70</v>
      </c>
    </row>
    <row r="24" spans="1:6">
      <c r="A24" s="7" t="s">
        <v>23</v>
      </c>
      <c r="B24" s="11" t="str" cm="1">
        <f t="array" ref="B24">INDEX(_xlfn.TEXTSPLIT(A24," "),2)</f>
        <v>Hussmann</v>
      </c>
      <c r="C24" s="11" t="str" cm="1">
        <f t="array" ref="C24">INDEX(_xlfn.TEXTSPLIT(A24," "),3)</f>
        <v>RL-5</v>
      </c>
      <c r="D24" s="11" t="str" cm="1">
        <f t="array" ref="D24">INDEX(_xlfn.TEXTSPLIT(A24," "),4)</f>
        <v>MY12N105371</v>
      </c>
      <c r="E24" s="12" t="s">
        <v>69</v>
      </c>
      <c r="F24" s="12" t="s">
        <v>70</v>
      </c>
    </row>
    <row r="25" spans="1:6">
      <c r="A25" s="7" t="s">
        <v>24</v>
      </c>
      <c r="B25" s="11" t="str" cm="1">
        <f t="array" ref="B25">INDEX(_xlfn.TEXTSPLIT(A25," "),2)</f>
        <v>Hussmann</v>
      </c>
      <c r="C25" s="11" t="str" cm="1">
        <f t="array" ref="C25">INDEX(_xlfn.TEXTSPLIT(A25," "),3)</f>
        <v>RL-5</v>
      </c>
      <c r="D25" s="11" t="str" cm="1">
        <f t="array" ref="D25">INDEX(_xlfn.TEXTSPLIT(A25," "),4)</f>
        <v>MY12N105368</v>
      </c>
      <c r="E25" s="12" t="s">
        <v>69</v>
      </c>
      <c r="F25" s="12" t="s">
        <v>70</v>
      </c>
    </row>
    <row r="26" spans="1:6">
      <c r="A26" s="7" t="s">
        <v>25</v>
      </c>
      <c r="B26" s="11" t="str" cm="1">
        <f t="array" ref="B26">INDEX(_xlfn.TEXTSPLIT(A26," "),2)</f>
        <v>Hussmann</v>
      </c>
      <c r="C26" s="11" t="str" cm="1">
        <f t="array" ref="C26">INDEX(_xlfn.TEXTSPLIT(A26," "),3)</f>
        <v>RL-4</v>
      </c>
      <c r="D26" s="11" t="str" cm="1">
        <f t="array" ref="D26">INDEX(_xlfn.TEXTSPLIT(A26," "),4)</f>
        <v>MY12N105364</v>
      </c>
      <c r="E26" s="12" t="s">
        <v>69</v>
      </c>
      <c r="F26" s="12" t="s">
        <v>70</v>
      </c>
    </row>
    <row r="27" spans="1:6">
      <c r="A27" s="7" t="s">
        <v>26</v>
      </c>
      <c r="B27" s="11" t="str" cm="1">
        <f t="array" ref="B27">INDEX(_xlfn.TEXTSPLIT(A27," "),2)</f>
        <v>Hussmann</v>
      </c>
      <c r="C27" s="11" t="str" cm="1">
        <f t="array" ref="C27">INDEX(_xlfn.TEXTSPLIT(A27," "),3)</f>
        <v>RL-4</v>
      </c>
      <c r="D27" s="11" t="str" cm="1">
        <f t="array" ref="D27">INDEX(_xlfn.TEXTSPLIT(A27," "),4)</f>
        <v>MY12N10536</v>
      </c>
      <c r="E27" s="12" t="s">
        <v>69</v>
      </c>
      <c r="F27" s="12" t="s">
        <v>70</v>
      </c>
    </row>
    <row r="28" spans="1:6">
      <c r="A28" s="7" t="s">
        <v>27</v>
      </c>
      <c r="B28" s="8" t="str" cm="1">
        <f t="array" ref="B28">INDEX(_xlfn.TEXTSPLIT(A28," "),2)</f>
        <v>Hussmann</v>
      </c>
      <c r="C28" s="8" t="str" cm="1">
        <f t="array" ref="C28">INDEX(_xlfn.TEXTSPLIT(A28," "),3)</f>
        <v>MPD216-3</v>
      </c>
      <c r="D28" s="8" t="str" cm="1">
        <f t="array" ref="D28">INDEX(_xlfn.TEXTSPLIT(A28," "),4)</f>
        <v>SZ35026</v>
      </c>
      <c r="E28" s="9" t="s">
        <v>65</v>
      </c>
      <c r="F28" s="9">
        <v>228010</v>
      </c>
    </row>
    <row r="29" spans="1:6">
      <c r="A29" s="7" t="s">
        <v>29</v>
      </c>
      <c r="B29" s="8" t="str" cm="1">
        <f t="array" ref="B29">INDEX(_xlfn.TEXTSPLIT(A29," "),2)</f>
        <v>Hussmann</v>
      </c>
      <c r="C29" s="8" t="str" cm="1">
        <f t="array" ref="C29">INDEX(_xlfn.TEXTSPLIT(A29," "),3)</f>
        <v>MPD216-6</v>
      </c>
      <c r="D29" s="8" t="str" cm="1">
        <f t="array" ref="D29">INDEX(_xlfn.TEXTSPLIT(A29," "),4)</f>
        <v>SZ35045</v>
      </c>
      <c r="E29" s="9" t="s">
        <v>65</v>
      </c>
      <c r="F29" s="9">
        <v>228010</v>
      </c>
    </row>
    <row r="30" spans="1:6">
      <c r="A30" s="7" t="s">
        <v>30</v>
      </c>
      <c r="B30" s="8" t="str" cm="1">
        <f t="array" ref="B30">INDEX(_xlfn.TEXTSPLIT(A30," "),2)</f>
        <v>Hussmann</v>
      </c>
      <c r="C30" s="8" t="str" cm="1">
        <f t="array" ref="C30">INDEX(_xlfn.TEXTSPLIT(A30," "),3)</f>
        <v>MPD216-6</v>
      </c>
      <c r="D30" s="8" t="str" cm="1">
        <f t="array" ref="D30">INDEX(_xlfn.TEXTSPLIT(A30," "),4)</f>
        <v>SZ35046</v>
      </c>
      <c r="E30" s="9" t="s">
        <v>65</v>
      </c>
      <c r="F30" s="9">
        <v>228010</v>
      </c>
    </row>
    <row r="31" spans="1:6">
      <c r="A31" s="7" t="s">
        <v>31</v>
      </c>
      <c r="B31" s="8" t="str" cm="1">
        <f t="array" ref="B31">INDEX(_xlfn.TEXTSPLIT(A31," "),2)</f>
        <v>Hussmann</v>
      </c>
      <c r="C31" s="8" t="str" cm="1">
        <f t="array" ref="C31">INDEX(_xlfn.TEXTSPLIT(A31," "),3)</f>
        <v>MPD216-6</v>
      </c>
      <c r="D31" s="8" t="str" cm="1">
        <f t="array" ref="D31">INDEX(_xlfn.TEXTSPLIT(A31," "),4)</f>
        <v>SZ35047</v>
      </c>
      <c r="E31" s="9" t="s">
        <v>65</v>
      </c>
      <c r="F31" s="9">
        <v>228010</v>
      </c>
    </row>
    <row r="32" spans="1:6">
      <c r="A32" s="7" t="s">
        <v>32</v>
      </c>
      <c r="B32" s="8" t="str" cm="1">
        <f t="array" ref="B32">INDEX(_xlfn.TEXTSPLIT(A32," "),2)</f>
        <v>Hussmann</v>
      </c>
      <c r="C32" s="8" t="str" cm="1">
        <f t="array" ref="C32">INDEX(_xlfn.TEXTSPLIT(A32," "),3)</f>
        <v>MPD216-6</v>
      </c>
      <c r="D32" s="8" t="str" cm="1">
        <f t="array" ref="D32">INDEX(_xlfn.TEXTSPLIT(A32," "),4)</f>
        <v>SZ35048</v>
      </c>
      <c r="E32" s="9" t="s">
        <v>65</v>
      </c>
      <c r="F32" s="9">
        <v>228010</v>
      </c>
    </row>
    <row r="33" spans="1:6">
      <c r="A33" s="7" t="s">
        <v>33</v>
      </c>
      <c r="B33" s="8" t="str" cm="1">
        <f t="array" ref="B33">INDEX(_xlfn.TEXTSPLIT(A33," "),2)</f>
        <v>Hussmann</v>
      </c>
      <c r="C33" s="8" t="str" cm="1">
        <f t="array" ref="C33">INDEX(_xlfn.TEXTSPLIT(A33," "),3)</f>
        <v>MPD216-6</v>
      </c>
      <c r="D33" s="8" t="str" cm="1">
        <f t="array" ref="D33">INDEX(_xlfn.TEXTSPLIT(A33," "),4)</f>
        <v>SZ35037</v>
      </c>
      <c r="E33" s="9" t="s">
        <v>65</v>
      </c>
      <c r="F33" s="9">
        <v>228010</v>
      </c>
    </row>
    <row r="34" spans="1:6">
      <c r="A34" s="7" t="s">
        <v>34</v>
      </c>
      <c r="B34" s="8" t="str" cm="1">
        <f t="array" ref="B34">INDEX(_xlfn.TEXTSPLIT(A34," "),2)</f>
        <v>Hussmann</v>
      </c>
      <c r="C34" s="8" t="str" cm="1">
        <f t="array" ref="C34">INDEX(_xlfn.TEXTSPLIT(A34," "),3)</f>
        <v>MPD216-3</v>
      </c>
      <c r="D34" s="8" t="str" cm="1">
        <f t="array" ref="D34">INDEX(_xlfn.TEXTSPLIT(A34," "),4)</f>
        <v>SZ35049</v>
      </c>
      <c r="E34" s="9" t="s">
        <v>62</v>
      </c>
      <c r="F34" s="9">
        <v>227765</v>
      </c>
    </row>
    <row r="35" spans="1:6">
      <c r="A35" s="7" t="s">
        <v>35</v>
      </c>
      <c r="B35" s="8" t="str" cm="1">
        <f t="array" ref="B35">INDEX(_xlfn.TEXTSPLIT(A35," "),2)</f>
        <v>Hussmann</v>
      </c>
      <c r="C35" s="8" t="str" cm="1">
        <f t="array" ref="C35">INDEX(_xlfn.TEXTSPLIT(A35," "),3)</f>
        <v>MPD216-3</v>
      </c>
      <c r="D35" s="8" t="str" cm="1">
        <f t="array" ref="D35">INDEX(_xlfn.TEXTSPLIT(A35," "),4)</f>
        <v>SZ35050</v>
      </c>
      <c r="E35" s="9" t="s">
        <v>62</v>
      </c>
      <c r="F35" s="9">
        <v>227765</v>
      </c>
    </row>
    <row r="36" spans="1:6">
      <c r="A36" s="7" t="s">
        <v>36</v>
      </c>
      <c r="B36" s="8" t="str" cm="1">
        <f t="array" ref="B36">INDEX(_xlfn.TEXTSPLIT(A36," "),2)</f>
        <v>Hussmann</v>
      </c>
      <c r="C36" s="8" t="str" cm="1">
        <f t="array" ref="C36">INDEX(_xlfn.TEXTSPLIT(A36," "),3)</f>
        <v>MPD216-6</v>
      </c>
      <c r="D36" s="8" t="str" cm="1">
        <f t="array" ref="D36">INDEX(_xlfn.TEXTSPLIT(A36," "),4)</f>
        <v>SZ35051</v>
      </c>
      <c r="E36" s="9" t="s">
        <v>62</v>
      </c>
      <c r="F36" s="9">
        <v>227765</v>
      </c>
    </row>
    <row r="37" spans="1:6">
      <c r="A37" s="7" t="s">
        <v>37</v>
      </c>
      <c r="B37" s="8" t="str" cm="1">
        <f t="array" ref="B37">INDEX(_xlfn.TEXTSPLIT(A37," "),2)</f>
        <v>Hussmann</v>
      </c>
      <c r="C37" s="8" t="str" cm="1">
        <f t="array" ref="C37">INDEX(_xlfn.TEXTSPLIT(A37," "),3)</f>
        <v>MPD216-3</v>
      </c>
      <c r="D37" s="8" t="str" cm="1">
        <f t="array" ref="D37">INDEX(_xlfn.TEXTSPLIT(A37," "),4)</f>
        <v>SZ35039</v>
      </c>
      <c r="E37" s="9" t="s">
        <v>65</v>
      </c>
      <c r="F37" s="9">
        <v>228010</v>
      </c>
    </row>
    <row r="38" spans="1:6">
      <c r="A38" s="7" t="s">
        <v>38</v>
      </c>
      <c r="B38" s="8" t="str" cm="1">
        <f t="array" ref="B38">INDEX(_xlfn.TEXTSPLIT(A38," "),2)</f>
        <v>Hussmann</v>
      </c>
      <c r="C38" s="8" t="str" cm="1">
        <f t="array" ref="C38">INDEX(_xlfn.TEXTSPLIT(A38," "),3)</f>
        <v>RLA-2</v>
      </c>
      <c r="D38" s="8" t="str" cm="1">
        <f t="array" ref="D38">INDEX(_xlfn.TEXTSPLIT(A38," "),4)</f>
        <v>SZ35052</v>
      </c>
      <c r="E38" s="9" t="s">
        <v>67</v>
      </c>
      <c r="F38" s="9">
        <v>230080</v>
      </c>
    </row>
    <row r="39" spans="1:6">
      <c r="A39" s="7" t="s">
        <v>40</v>
      </c>
      <c r="B39" s="8" t="str" cm="1">
        <f t="array" ref="B39">INDEX(_xlfn.TEXTSPLIT(A39," "),2)</f>
        <v>Hussmann</v>
      </c>
      <c r="C39" s="8" t="str" cm="1">
        <f t="array" ref="C39">INDEX(_xlfn.TEXTSPLIT(A39," "),3)</f>
        <v>MPD216-4</v>
      </c>
      <c r="D39" s="8" t="str" cm="1">
        <f t="array" ref="D39">INDEX(_xlfn.TEXTSPLIT(A39," "),4)</f>
        <v>SZ35053</v>
      </c>
      <c r="E39" s="9" t="s">
        <v>62</v>
      </c>
      <c r="F39" s="9">
        <v>227765</v>
      </c>
    </row>
    <row r="40" spans="1:6">
      <c r="A40" s="7" t="s">
        <v>41</v>
      </c>
      <c r="B40" s="8" t="str" cm="1">
        <f t="array" ref="B40">INDEX(_xlfn.TEXTSPLIT(A40," "),2)</f>
        <v>Hussmann</v>
      </c>
      <c r="C40" s="8" t="str" cm="1">
        <f t="array" ref="C40">INDEX(_xlfn.TEXTSPLIT(A40," "),3)</f>
        <v>MPD216-4</v>
      </c>
      <c r="D40" s="8" t="str" cm="1">
        <f t="array" ref="D40">INDEX(_xlfn.TEXTSPLIT(A40," "),4)</f>
        <v>SZ35031</v>
      </c>
      <c r="E40" s="9" t="s">
        <v>62</v>
      </c>
      <c r="F40" s="9">
        <v>227765</v>
      </c>
    </row>
    <row r="41" spans="1:6">
      <c r="A41" s="7" t="s">
        <v>42</v>
      </c>
      <c r="B41" s="8" t="str" cm="1">
        <f t="array" ref="B41">INDEX(_xlfn.TEXTSPLIT(A41," "),2)</f>
        <v>Hussmann</v>
      </c>
      <c r="C41" s="8" t="str" cm="1">
        <f t="array" ref="C41">INDEX(_xlfn.TEXTSPLIT(A41," "),3)</f>
        <v>MPD216-6</v>
      </c>
      <c r="D41" s="8" t="str" cm="1">
        <f t="array" ref="D41">INDEX(_xlfn.TEXTSPLIT(A41," "),4)</f>
        <v>SZ35032</v>
      </c>
      <c r="E41" s="9" t="s">
        <v>62</v>
      </c>
      <c r="F41" s="9">
        <v>227765</v>
      </c>
    </row>
    <row r="42" spans="1:6">
      <c r="A42" s="7" t="s">
        <v>43</v>
      </c>
      <c r="B42" s="8" t="str" cm="1">
        <f t="array" ref="B42">INDEX(_xlfn.TEXTSPLIT(A42," "),2)</f>
        <v>Hussmann</v>
      </c>
      <c r="C42" s="8" t="str" cm="1">
        <f t="array" ref="C42">INDEX(_xlfn.TEXTSPLIT(A42," "),3)</f>
        <v>MJPE216-3</v>
      </c>
      <c r="D42" s="8" t="str" cm="1">
        <f t="array" ref="D42">INDEX(_xlfn.TEXTSPLIT(A42," "),4)</f>
        <v>SZ35040</v>
      </c>
      <c r="E42" s="9" t="s">
        <v>65</v>
      </c>
      <c r="F42" s="9">
        <v>228010</v>
      </c>
    </row>
    <row r="43" spans="1:6">
      <c r="A43" s="7" t="s">
        <v>44</v>
      </c>
      <c r="B43" s="8" t="str" cm="1">
        <f t="array" ref="B43">INDEX(_xlfn.TEXTSPLIT(A43," "),2)</f>
        <v>Hussmann</v>
      </c>
      <c r="C43" s="8" t="str" cm="1">
        <f t="array" ref="C43">INDEX(_xlfn.TEXTSPLIT(A43," "),3)</f>
        <v>MPD216-6</v>
      </c>
      <c r="D43" s="8" t="str" cm="1">
        <f t="array" ref="D43">INDEX(_xlfn.TEXTSPLIT(A43," "),4)</f>
        <v>SZ35042</v>
      </c>
      <c r="E43" s="9" t="s">
        <v>65</v>
      </c>
      <c r="F43" s="9">
        <v>228010</v>
      </c>
    </row>
    <row r="44" spans="1:6">
      <c r="A44" s="7" t="s">
        <v>45</v>
      </c>
      <c r="B44" s="8" t="str" cm="1">
        <f t="array" ref="B44">INDEX(_xlfn.TEXTSPLIT(A44," "),2)</f>
        <v>Hussmann</v>
      </c>
      <c r="C44" s="8" t="str" cm="1">
        <f t="array" ref="C44">INDEX(_xlfn.TEXTSPLIT(A44," "),3)</f>
        <v>MPD216-4</v>
      </c>
      <c r="D44" s="8" t="str" cm="1">
        <f t="array" ref="D44">INDEX(_xlfn.TEXTSPLIT(A44," "),4)</f>
        <v>SZ35041</v>
      </c>
      <c r="E44" s="9" t="s">
        <v>65</v>
      </c>
      <c r="F44" s="9">
        <v>228010</v>
      </c>
    </row>
    <row r="45" spans="1:6">
      <c r="A45" s="7" t="s">
        <v>46</v>
      </c>
      <c r="B45" s="8" t="str" cm="1">
        <f t="array" ref="B45">INDEX(_xlfn.TEXTSPLIT(A45," "),2)</f>
        <v>Hussmann</v>
      </c>
      <c r="C45" s="8" t="str" cm="1">
        <f t="array" ref="C45">INDEX(_xlfn.TEXTSPLIT(A45," "),3)</f>
        <v>MPD216-6</v>
      </c>
      <c r="D45" s="8" t="str" cm="1">
        <f t="array" ref="D45">INDEX(_xlfn.TEXTSPLIT(A45," "),4)</f>
        <v>SZ35044</v>
      </c>
      <c r="E45" s="9" t="s">
        <v>65</v>
      </c>
      <c r="F45" s="9">
        <v>228010</v>
      </c>
    </row>
    <row r="46" spans="1:6">
      <c r="A46" s="7" t="s">
        <v>47</v>
      </c>
      <c r="B46" s="8" t="str" cm="1">
        <f t="array" ref="B46">INDEX(_xlfn.TEXTSPLIT(A46," "),2)</f>
        <v>Hussmann</v>
      </c>
      <c r="C46" s="8" t="str" cm="1">
        <f t="array" ref="C46">INDEX(_xlfn.TEXTSPLIT(A46," "),3)</f>
        <v>MPD216-4</v>
      </c>
      <c r="D46" s="8" t="str" cm="1">
        <f t="array" ref="D46">INDEX(_xlfn.TEXTSPLIT(A46," "),4)</f>
        <v>SZ35043</v>
      </c>
      <c r="E46" s="9" t="s">
        <v>65</v>
      </c>
      <c r="F46" s="9">
        <v>228010</v>
      </c>
    </row>
    <row r="47" spans="1:6">
      <c r="A47" s="7" t="s">
        <v>48</v>
      </c>
      <c r="B47" s="8" t="str" cm="1">
        <f t="array" ref="B47">INDEX(_xlfn.TEXTSPLIT(A47," "),2)</f>
        <v>Hussmann</v>
      </c>
      <c r="C47" s="8" t="str" cm="1">
        <f t="array" ref="C47">INDEX(_xlfn.TEXTSPLIT(A47," "),3)</f>
        <v>DM13-4</v>
      </c>
      <c r="D47" s="8" t="str" cm="1">
        <f t="array" ref="D47">INDEX(_xlfn.TEXTSPLIT(A47," "),4)</f>
        <v>SZ35030</v>
      </c>
      <c r="E47" s="9" t="s">
        <v>66</v>
      </c>
      <c r="F47" s="9">
        <v>229003</v>
      </c>
    </row>
    <row r="48" spans="1:6">
      <c r="A48" s="7" t="s">
        <v>50</v>
      </c>
      <c r="B48" s="11" t="str" cm="1">
        <f t="array" ref="B48">INDEX(_xlfn.TEXTSPLIT(A48," "),2)</f>
        <v>Bromic</v>
      </c>
      <c r="C48" s="11" t="str" cm="1">
        <f t="array" ref="C48">INDEX(_xlfn.TEXTSPLIT(A48," "),3)</f>
        <v>UF1300SDF-NR</v>
      </c>
      <c r="D48" s="11" t="str" cm="1">
        <f t="array" ref="D48">INDEX(_xlfn.TEXTSPLIT(A48," "),4)</f>
        <v>ST22113A19GH141B032</v>
      </c>
      <c r="E48" s="12" t="s">
        <v>69</v>
      </c>
      <c r="F48" s="12" t="s">
        <v>70</v>
      </c>
    </row>
    <row r="49" spans="1:6">
      <c r="A49" s="7" t="s">
        <v>51</v>
      </c>
      <c r="B49" s="11" t="str" cm="1">
        <f t="array" ref="B49">INDEX(_xlfn.TEXTSPLIT(A49," "),2)</f>
        <v>Bromic</v>
      </c>
      <c r="C49" s="11" t="str" cm="1">
        <f t="array" ref="C49">INDEX(_xlfn.TEXTSPLIT(A49," "),3)</f>
        <v>UF1300SDF-NR</v>
      </c>
      <c r="D49" s="11" t="str" cm="1">
        <f t="array" ref="D49">INDEX(_xlfn.TEXTSPLIT(A49," "),4)</f>
        <v>ST22113A19GH141B029</v>
      </c>
      <c r="E49" s="12" t="s">
        <v>69</v>
      </c>
      <c r="F49" s="12" t="s">
        <v>70</v>
      </c>
    </row>
    <row r="50" spans="1:6">
      <c r="A50" s="7" t="s">
        <v>56</v>
      </c>
      <c r="B50" s="11" t="str" cm="1">
        <f t="array" ref="B50">INDEX(_xlfn.TEXTSPLIT(A50," "),2)</f>
        <v>UNKNOWN</v>
      </c>
      <c r="C50" s="11" t="str" cm="1">
        <f t="array" ref="C50">INDEX(_xlfn.TEXTSPLIT(A50," "),3)</f>
        <v>SZ35027</v>
      </c>
      <c r="D50" s="11" t="str" cm="1">
        <f t="array" ref="D50">INDEX(_xlfn.TEXTSPLIT(A50," "),4)</f>
        <v>Nameplate.jpg</v>
      </c>
      <c r="E50" s="12" t="s">
        <v>69</v>
      </c>
      <c r="F50" s="12" t="s">
        <v>70</v>
      </c>
    </row>
    <row r="51" spans="1:6">
      <c r="A51" s="7" t="s">
        <v>57</v>
      </c>
      <c r="B51" s="8" t="s">
        <v>7</v>
      </c>
      <c r="C51" s="8" t="s">
        <v>72</v>
      </c>
      <c r="D51" s="8" t="s">
        <v>71</v>
      </c>
      <c r="E51" s="8" t="s">
        <v>68</v>
      </c>
      <c r="F51" s="9">
        <v>230535</v>
      </c>
    </row>
    <row r="54" spans="1:6">
      <c r="D54" s="8"/>
      <c r="E54" s="8"/>
    </row>
    <row r="55" spans="1:6">
      <c r="D55" s="8"/>
      <c r="E55" s="8"/>
    </row>
    <row r="56" spans="1:6">
      <c r="D56" s="8"/>
      <c r="E56" s="8"/>
    </row>
    <row r="57" spans="1:6">
      <c r="D57" s="8"/>
      <c r="E57" s="8"/>
    </row>
    <row r="58" spans="1:6">
      <c r="D58" s="8"/>
      <c r="E58" s="8"/>
    </row>
    <row r="59" spans="1:6">
      <c r="D59" s="8"/>
      <c r="E59" s="8"/>
    </row>
    <row r="60" spans="1:6">
      <c r="D60" s="8"/>
      <c r="E60" s="8"/>
    </row>
    <row r="61" spans="1:6">
      <c r="D61" s="8"/>
      <c r="E61" s="8"/>
    </row>
    <row r="62" spans="1:6">
      <c r="D62" s="8"/>
      <c r="E62" s="8"/>
    </row>
    <row r="63" spans="1:6">
      <c r="D63" s="8"/>
      <c r="E63" s="8"/>
    </row>
    <row r="64" spans="1:6">
      <c r="D64" s="8"/>
      <c r="E64" s="8"/>
    </row>
    <row r="65" spans="1:7">
      <c r="D65" s="8"/>
      <c r="E65" s="8"/>
    </row>
    <row r="66" spans="1:7">
      <c r="D66" s="8"/>
      <c r="E66" s="8"/>
    </row>
    <row r="67" spans="1:7">
      <c r="D67" s="8"/>
      <c r="E67" s="8"/>
    </row>
    <row r="68" spans="1:7">
      <c r="D68" s="8"/>
      <c r="E68" s="8"/>
    </row>
    <row r="69" spans="1:7">
      <c r="D69" s="8"/>
      <c r="E69" s="8"/>
    </row>
    <row r="70" spans="1:7">
      <c r="D70" s="8"/>
      <c r="E70" s="8"/>
    </row>
    <row r="71" spans="1:7">
      <c r="D71" s="8"/>
      <c r="E71" s="8"/>
    </row>
    <row r="72" spans="1:7">
      <c r="D72" s="8"/>
      <c r="E72" s="8"/>
    </row>
    <row r="73" spans="1:7">
      <c r="D73" s="8"/>
      <c r="E73" s="8"/>
    </row>
    <row r="74" spans="1:7">
      <c r="D74" s="8"/>
      <c r="E74" s="8"/>
    </row>
    <row r="75" spans="1:7">
      <c r="D75" s="8"/>
      <c r="E75" s="8"/>
    </row>
    <row r="76" spans="1:7">
      <c r="D76" s="8"/>
      <c r="E76" s="8"/>
    </row>
    <row r="77" spans="1:7">
      <c r="A77"/>
      <c r="B77"/>
      <c r="C77"/>
      <c r="D77"/>
      <c r="E77"/>
      <c r="F77"/>
      <c r="G77"/>
    </row>
    <row r="78" spans="1:7">
      <c r="A78"/>
      <c r="B78"/>
      <c r="C78"/>
      <c r="D78"/>
      <c r="E78"/>
      <c r="F78"/>
      <c r="G78"/>
    </row>
    <row r="79" spans="1:7">
      <c r="A79"/>
      <c r="B79"/>
      <c r="C79"/>
      <c r="D79"/>
      <c r="E79"/>
      <c r="F79"/>
      <c r="G79"/>
    </row>
    <row r="80" spans="1:7">
      <c r="A80"/>
      <c r="B80"/>
      <c r="C80"/>
      <c r="D80"/>
      <c r="E80"/>
      <c r="F80"/>
      <c r="G80"/>
    </row>
    <row r="81" spans="1:7">
      <c r="A81"/>
      <c r="B81"/>
      <c r="C81"/>
      <c r="D81"/>
      <c r="E81"/>
      <c r="F81"/>
      <c r="G81"/>
    </row>
    <row r="82" spans="1:7">
      <c r="A82"/>
      <c r="B82"/>
      <c r="C82"/>
      <c r="D82"/>
      <c r="E82"/>
      <c r="F82"/>
      <c r="G82"/>
    </row>
    <row r="83" spans="1:7">
      <c r="A83"/>
      <c r="B83"/>
      <c r="C83"/>
      <c r="D83"/>
      <c r="E83"/>
      <c r="F83"/>
      <c r="G83"/>
    </row>
    <row r="84" spans="1:7">
      <c r="A84"/>
      <c r="B84"/>
      <c r="C84"/>
      <c r="D84"/>
      <c r="E84"/>
      <c r="F84"/>
      <c r="G84"/>
    </row>
    <row r="85" spans="1:7">
      <c r="A85"/>
      <c r="B85"/>
      <c r="C85"/>
      <c r="D85"/>
      <c r="E85"/>
      <c r="F85"/>
      <c r="G85"/>
    </row>
    <row r="86" spans="1:7">
      <c r="A86"/>
      <c r="B86"/>
      <c r="C86"/>
      <c r="D86"/>
      <c r="E86"/>
      <c r="F86"/>
      <c r="G86"/>
    </row>
    <row r="87" spans="1:7">
      <c r="A87"/>
      <c r="B87"/>
      <c r="C87"/>
      <c r="D87"/>
      <c r="E87"/>
      <c r="F87"/>
      <c r="G87"/>
    </row>
    <row r="88" spans="1:7">
      <c r="A88"/>
      <c r="B88"/>
      <c r="C88"/>
      <c r="D88"/>
      <c r="E88"/>
      <c r="F88"/>
      <c r="G88"/>
    </row>
    <row r="89" spans="1:7">
      <c r="A89"/>
      <c r="B89"/>
      <c r="C89"/>
      <c r="D89"/>
      <c r="E89"/>
      <c r="F89"/>
      <c r="G89"/>
    </row>
    <row r="90" spans="1:7">
      <c r="A90"/>
      <c r="B90"/>
      <c r="C90"/>
      <c r="D90"/>
      <c r="E90"/>
      <c r="F90"/>
      <c r="G90"/>
    </row>
    <row r="91" spans="1:7">
      <c r="A91"/>
      <c r="B91"/>
      <c r="C91"/>
      <c r="D91"/>
      <c r="E91"/>
      <c r="F91"/>
      <c r="G91"/>
    </row>
    <row r="92" spans="1:7">
      <c r="A92"/>
      <c r="B92"/>
      <c r="C92"/>
      <c r="D92"/>
      <c r="E92"/>
      <c r="F92"/>
      <c r="G92"/>
    </row>
    <row r="93" spans="1:7">
      <c r="A93"/>
      <c r="B93"/>
      <c r="C93"/>
      <c r="D93"/>
      <c r="E93"/>
      <c r="F93"/>
      <c r="G93"/>
    </row>
    <row r="94" spans="1:7">
      <c r="A94"/>
      <c r="B94"/>
      <c r="C94"/>
      <c r="D94"/>
      <c r="E94"/>
      <c r="F94"/>
      <c r="G94"/>
    </row>
    <row r="95" spans="1:7">
      <c r="A95"/>
      <c r="B95"/>
      <c r="C95"/>
      <c r="D95"/>
      <c r="E95"/>
      <c r="F95"/>
      <c r="G95"/>
    </row>
    <row r="96" spans="1:7">
      <c r="A96"/>
      <c r="B96"/>
      <c r="C96"/>
      <c r="D96"/>
      <c r="E96"/>
      <c r="F96"/>
      <c r="G96"/>
    </row>
    <row r="97" spans="1:7">
      <c r="A97"/>
      <c r="B97"/>
      <c r="C97"/>
      <c r="D97"/>
      <c r="E97"/>
      <c r="F97"/>
      <c r="G97"/>
    </row>
    <row r="98" spans="1:7">
      <c r="A98"/>
      <c r="B98"/>
      <c r="C98"/>
      <c r="D98"/>
      <c r="E98"/>
      <c r="F98"/>
      <c r="G98"/>
    </row>
    <row r="99" spans="1:7">
      <c r="A99"/>
      <c r="B99"/>
      <c r="C99"/>
      <c r="D99"/>
      <c r="E99"/>
      <c r="F99"/>
      <c r="G99"/>
    </row>
    <row r="100" spans="1:7">
      <c r="A100"/>
      <c r="B100"/>
      <c r="C100"/>
      <c r="D100"/>
      <c r="E100"/>
      <c r="F100"/>
      <c r="G100"/>
    </row>
    <row r="101" spans="1:7">
      <c r="A101"/>
      <c r="B101"/>
      <c r="C101"/>
      <c r="D101"/>
      <c r="E101"/>
      <c r="F101"/>
      <c r="G101"/>
    </row>
    <row r="102" spans="1:7">
      <c r="A102"/>
      <c r="B102"/>
      <c r="C102"/>
      <c r="D102"/>
      <c r="E102"/>
      <c r="F102"/>
      <c r="G102"/>
    </row>
    <row r="103" spans="1:7">
      <c r="A103"/>
      <c r="B103"/>
      <c r="C103"/>
      <c r="D103"/>
      <c r="E103"/>
      <c r="F103"/>
      <c r="G103"/>
    </row>
    <row r="104" spans="1:7">
      <c r="A104"/>
      <c r="B104"/>
      <c r="C104"/>
      <c r="D104"/>
      <c r="E104"/>
      <c r="F104"/>
      <c r="G104"/>
    </row>
    <row r="105" spans="1:7">
      <c r="A105"/>
      <c r="B105"/>
      <c r="C105"/>
      <c r="D105"/>
      <c r="E105"/>
      <c r="F105"/>
      <c r="G105"/>
    </row>
    <row r="106" spans="1:7">
      <c r="A106"/>
      <c r="B106"/>
      <c r="C106"/>
      <c r="D106"/>
      <c r="E106"/>
      <c r="F106"/>
      <c r="G106"/>
    </row>
    <row r="107" spans="1:7">
      <c r="A107"/>
      <c r="B107"/>
      <c r="C107"/>
      <c r="D107"/>
      <c r="E107"/>
      <c r="F107"/>
      <c r="G107"/>
    </row>
    <row r="108" spans="1:7">
      <c r="A108"/>
      <c r="B108"/>
      <c r="C108"/>
      <c r="D108"/>
      <c r="E108"/>
      <c r="F108"/>
      <c r="G108"/>
    </row>
    <row r="109" spans="1:7">
      <c r="A109"/>
      <c r="B109"/>
      <c r="C109"/>
      <c r="D109"/>
      <c r="E109"/>
      <c r="F109"/>
      <c r="G109"/>
    </row>
    <row r="110" spans="1:7">
      <c r="A110"/>
      <c r="B110"/>
      <c r="C110"/>
      <c r="D110"/>
      <c r="E110"/>
      <c r="F110"/>
      <c r="G110"/>
    </row>
    <row r="111" spans="1:7">
      <c r="A111"/>
      <c r="B111"/>
      <c r="C111"/>
      <c r="D111"/>
      <c r="E111"/>
      <c r="F111"/>
      <c r="G111"/>
    </row>
    <row r="112" spans="1:7">
      <c r="A112"/>
      <c r="B112"/>
      <c r="C112"/>
      <c r="D112"/>
      <c r="E112"/>
      <c r="F112"/>
      <c r="G112"/>
    </row>
  </sheetData>
  <conditionalFormatting sqref="H80:XFD82 A2:A51">
    <cfRule type="expression" dxfId="0" priority="3">
      <formula>OR(A2="N/A",ISERROR(A2))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FE1C3-AAE1-4D1F-9799-65EED0349691}">
  <sheetPr codeName="Sheet3"/>
  <dimension ref="A1:E27"/>
  <sheetViews>
    <sheetView workbookViewId="0">
      <selection activeCell="H17" sqref="H17"/>
    </sheetView>
  </sheetViews>
  <sheetFormatPr defaultRowHeight="14.5"/>
  <cols>
    <col min="1" max="1" width="11.08984375" customWidth="1"/>
    <col min="2" max="2" width="14.08984375" customWidth="1"/>
    <col min="3" max="3" width="9.08984375" customWidth="1"/>
    <col min="4" max="4" width="11.90625" customWidth="1"/>
    <col min="5" max="5" width="16.6328125" customWidth="1"/>
  </cols>
  <sheetData>
    <row r="1" spans="1:5">
      <c r="A1" s="10" t="s">
        <v>59</v>
      </c>
      <c r="B1" s="10" t="s">
        <v>60</v>
      </c>
      <c r="C1" s="10" t="s">
        <v>61</v>
      </c>
      <c r="D1" s="10" t="s">
        <v>64</v>
      </c>
      <c r="E1" s="10" t="s">
        <v>63</v>
      </c>
    </row>
    <row r="2" spans="1:5">
      <c r="A2" s="8" t="s">
        <v>7</v>
      </c>
      <c r="B2" s="8" t="s">
        <v>73</v>
      </c>
      <c r="C2" s="8" t="s">
        <v>74</v>
      </c>
      <c r="D2" s="9" t="s">
        <v>62</v>
      </c>
      <c r="E2" s="9">
        <v>227765</v>
      </c>
    </row>
    <row r="3" spans="1:5">
      <c r="A3" s="8" t="s">
        <v>7</v>
      </c>
      <c r="B3" s="8" t="s">
        <v>73</v>
      </c>
      <c r="C3" s="8" t="s">
        <v>75</v>
      </c>
      <c r="D3" s="9" t="s">
        <v>62</v>
      </c>
      <c r="E3" s="9">
        <v>227765</v>
      </c>
    </row>
    <row r="4" spans="1:5">
      <c r="A4" s="8" t="s">
        <v>7</v>
      </c>
      <c r="B4" s="8" t="s">
        <v>76</v>
      </c>
      <c r="C4" s="8" t="s">
        <v>77</v>
      </c>
      <c r="D4" s="9" t="s">
        <v>62</v>
      </c>
      <c r="E4" s="9">
        <v>227765</v>
      </c>
    </row>
    <row r="5" spans="1:5">
      <c r="A5" s="8" t="s">
        <v>7</v>
      </c>
      <c r="B5" s="8" t="s">
        <v>76</v>
      </c>
      <c r="C5" s="8" t="s">
        <v>78</v>
      </c>
      <c r="D5" s="9" t="s">
        <v>62</v>
      </c>
      <c r="E5" s="9">
        <v>227765</v>
      </c>
    </row>
    <row r="6" spans="1:5">
      <c r="A6" s="8" t="s">
        <v>7</v>
      </c>
      <c r="B6" s="8" t="s">
        <v>79</v>
      </c>
      <c r="C6" s="8" t="s">
        <v>80</v>
      </c>
      <c r="D6" s="9" t="s">
        <v>62</v>
      </c>
      <c r="E6" s="9">
        <v>227765</v>
      </c>
    </row>
    <row r="7" spans="1:5">
      <c r="A7" s="8" t="s">
        <v>7</v>
      </c>
      <c r="B7" s="8" t="s">
        <v>79</v>
      </c>
      <c r="C7" s="8" t="s">
        <v>81</v>
      </c>
      <c r="D7" s="9" t="s">
        <v>65</v>
      </c>
      <c r="E7" s="9">
        <v>228010</v>
      </c>
    </row>
    <row r="8" spans="1:5">
      <c r="A8" s="8" t="s">
        <v>7</v>
      </c>
      <c r="B8" s="8" t="s">
        <v>76</v>
      </c>
      <c r="C8" s="8" t="s">
        <v>82</v>
      </c>
      <c r="D8" s="9" t="s">
        <v>65</v>
      </c>
      <c r="E8" s="9">
        <v>228010</v>
      </c>
    </row>
    <row r="9" spans="1:5">
      <c r="A9" s="8" t="s">
        <v>7</v>
      </c>
      <c r="B9" s="8" t="s">
        <v>76</v>
      </c>
      <c r="C9" s="8" t="s">
        <v>83</v>
      </c>
      <c r="D9" s="9" t="s">
        <v>65</v>
      </c>
      <c r="E9" s="9">
        <v>228010</v>
      </c>
    </row>
    <row r="10" spans="1:5">
      <c r="A10" s="8" t="s">
        <v>7</v>
      </c>
      <c r="B10" s="8" t="s">
        <v>76</v>
      </c>
      <c r="C10" s="8" t="s">
        <v>84</v>
      </c>
      <c r="D10" s="9" t="s">
        <v>65</v>
      </c>
      <c r="E10" s="9">
        <v>228010</v>
      </c>
    </row>
    <row r="11" spans="1:5">
      <c r="A11" s="8" t="s">
        <v>7</v>
      </c>
      <c r="B11" s="8" t="s">
        <v>76</v>
      </c>
      <c r="C11" s="8" t="s">
        <v>85</v>
      </c>
      <c r="D11" s="9" t="s">
        <v>65</v>
      </c>
      <c r="E11" s="9">
        <v>228010</v>
      </c>
    </row>
    <row r="12" spans="1:5">
      <c r="A12" s="8" t="s">
        <v>7</v>
      </c>
      <c r="B12" s="8" t="s">
        <v>76</v>
      </c>
      <c r="C12" s="8" t="s">
        <v>86</v>
      </c>
      <c r="D12" s="9" t="s">
        <v>65</v>
      </c>
      <c r="E12" s="9">
        <v>228010</v>
      </c>
    </row>
    <row r="13" spans="1:5">
      <c r="A13" s="8" t="s">
        <v>7</v>
      </c>
      <c r="B13" s="8" t="s">
        <v>79</v>
      </c>
      <c r="C13" s="8" t="s">
        <v>87</v>
      </c>
      <c r="D13" s="9" t="s">
        <v>62</v>
      </c>
      <c r="E13" s="9">
        <v>227765</v>
      </c>
    </row>
    <row r="14" spans="1:5">
      <c r="A14" s="8" t="s">
        <v>7</v>
      </c>
      <c r="B14" s="8" t="s">
        <v>79</v>
      </c>
      <c r="C14" s="8" t="s">
        <v>88</v>
      </c>
      <c r="D14" s="9" t="s">
        <v>62</v>
      </c>
      <c r="E14" s="9">
        <v>227765</v>
      </c>
    </row>
    <row r="15" spans="1:5">
      <c r="A15" s="8" t="s">
        <v>7</v>
      </c>
      <c r="B15" s="8" t="s">
        <v>76</v>
      </c>
      <c r="C15" s="8" t="s">
        <v>89</v>
      </c>
      <c r="D15" s="9" t="s">
        <v>62</v>
      </c>
      <c r="E15" s="9">
        <v>227765</v>
      </c>
    </row>
    <row r="16" spans="1:5">
      <c r="A16" s="8" t="s">
        <v>7</v>
      </c>
      <c r="B16" s="8" t="s">
        <v>79</v>
      </c>
      <c r="C16" s="8" t="s">
        <v>90</v>
      </c>
      <c r="D16" s="9" t="s">
        <v>65</v>
      </c>
      <c r="E16" s="9">
        <v>228010</v>
      </c>
    </row>
    <row r="17" spans="1:5">
      <c r="A17" s="8" t="s">
        <v>7</v>
      </c>
      <c r="B17" s="8" t="s">
        <v>91</v>
      </c>
      <c r="C17" s="8" t="s">
        <v>92</v>
      </c>
      <c r="D17" s="9" t="s">
        <v>67</v>
      </c>
      <c r="E17" s="9">
        <v>230080</v>
      </c>
    </row>
    <row r="18" spans="1:5">
      <c r="A18" s="8" t="s">
        <v>7</v>
      </c>
      <c r="B18" s="8" t="s">
        <v>73</v>
      </c>
      <c r="C18" s="8" t="s">
        <v>93</v>
      </c>
      <c r="D18" s="9" t="s">
        <v>62</v>
      </c>
      <c r="E18" s="9">
        <v>227765</v>
      </c>
    </row>
    <row r="19" spans="1:5">
      <c r="A19" s="8" t="s">
        <v>7</v>
      </c>
      <c r="B19" s="8" t="s">
        <v>73</v>
      </c>
      <c r="C19" s="8" t="s">
        <v>94</v>
      </c>
      <c r="D19" s="9" t="s">
        <v>62</v>
      </c>
      <c r="E19" s="9">
        <v>227765</v>
      </c>
    </row>
    <row r="20" spans="1:5">
      <c r="A20" s="8" t="s">
        <v>7</v>
      </c>
      <c r="B20" s="8" t="s">
        <v>76</v>
      </c>
      <c r="C20" s="8" t="s">
        <v>95</v>
      </c>
      <c r="D20" s="9" t="s">
        <v>62</v>
      </c>
      <c r="E20" s="9">
        <v>227765</v>
      </c>
    </row>
    <row r="21" spans="1:5">
      <c r="A21" s="8" t="s">
        <v>7</v>
      </c>
      <c r="B21" s="8" t="s">
        <v>96</v>
      </c>
      <c r="C21" s="8" t="s">
        <v>97</v>
      </c>
      <c r="D21" s="9" t="s">
        <v>65</v>
      </c>
      <c r="E21" s="9">
        <v>228010</v>
      </c>
    </row>
    <row r="22" spans="1:5">
      <c r="A22" s="8" t="s">
        <v>7</v>
      </c>
      <c r="B22" s="8" t="s">
        <v>76</v>
      </c>
      <c r="C22" s="8" t="s">
        <v>98</v>
      </c>
      <c r="D22" s="9" t="s">
        <v>65</v>
      </c>
      <c r="E22" s="9">
        <v>228010</v>
      </c>
    </row>
    <row r="23" spans="1:5">
      <c r="A23" s="8" t="s">
        <v>7</v>
      </c>
      <c r="B23" s="8" t="s">
        <v>73</v>
      </c>
      <c r="C23" s="8" t="s">
        <v>99</v>
      </c>
      <c r="D23" s="9" t="s">
        <v>65</v>
      </c>
      <c r="E23" s="9">
        <v>228010</v>
      </c>
    </row>
    <row r="24" spans="1:5">
      <c r="A24" s="8" t="s">
        <v>7</v>
      </c>
      <c r="B24" s="8" t="s">
        <v>76</v>
      </c>
      <c r="C24" s="8" t="s">
        <v>100</v>
      </c>
      <c r="D24" s="9" t="s">
        <v>65</v>
      </c>
      <c r="E24" s="9">
        <v>228010</v>
      </c>
    </row>
    <row r="25" spans="1:5">
      <c r="A25" s="8" t="s">
        <v>7</v>
      </c>
      <c r="B25" s="8" t="s">
        <v>73</v>
      </c>
      <c r="C25" s="8" t="s">
        <v>101</v>
      </c>
      <c r="D25" s="9" t="s">
        <v>65</v>
      </c>
      <c r="E25" s="9">
        <v>228010</v>
      </c>
    </row>
    <row r="26" spans="1:5">
      <c r="A26" s="8" t="s">
        <v>7</v>
      </c>
      <c r="B26" s="8" t="s">
        <v>102</v>
      </c>
      <c r="C26" s="8" t="s">
        <v>103</v>
      </c>
      <c r="D26" s="9" t="s">
        <v>66</v>
      </c>
      <c r="E26" s="9">
        <v>229003</v>
      </c>
    </row>
    <row r="27" spans="1:5">
      <c r="A27" s="8" t="s">
        <v>7</v>
      </c>
      <c r="B27" s="8" t="s">
        <v>72</v>
      </c>
      <c r="C27" s="8" t="s">
        <v>71</v>
      </c>
      <c r="D27" s="8" t="s">
        <v>68</v>
      </c>
      <c r="E27" s="9">
        <v>230535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Shell Document" ma:contentTypeID="0x0101006F0A470EEB1140E7AA14F4CE8A50B54C0001CB1477F4DD432AA86DD56CC3887AF400893E50A8C8151B4CA94963114C7889C5" ma:contentTypeVersion="19" ma:contentTypeDescription="Shell Document Content Type" ma:contentTypeScope="" ma:versionID="8e37d88a233677005fa3f7594d6cbe80">
  <xsd:schema xmlns:xsd="http://www.w3.org/2001/XMLSchema" xmlns:xs="http://www.w3.org/2001/XMLSchema" xmlns:p="http://schemas.microsoft.com/office/2006/metadata/properties" xmlns:ns1="http://schemas.microsoft.com/sharepoint/v3" xmlns:ns2="40967b74-b8ae-48af-95c4-a231130ffdb3" xmlns:ns3="88e9f60d-9435-401b-929c-2eb0ad27286d" targetNamespace="http://schemas.microsoft.com/office/2006/metadata/properties" ma:root="true" ma:fieldsID="61ed7a74366b0852bbddf4d8f84668c2" ns1:_="" ns2:_="" ns3:_="">
    <xsd:import namespace="http://schemas.microsoft.com/sharepoint/v3"/>
    <xsd:import namespace="40967b74-b8ae-48af-95c4-a231130ffdb3"/>
    <xsd:import namespace="88e9f60d-9435-401b-929c-2eb0ad27286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SAEFSecurityClassificationTaxHTField0" minOccurs="0"/>
                <xsd:element ref="ns2:ice2f7984e9548f9a31773f854109466" minOccurs="0"/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3:MediaServiceOCR" minOccurs="0"/>
                <xsd:element ref="ns2:SharedWithUsers" minOccurs="0"/>
                <xsd:element ref="ns2:SharedWithDetails" minOccurs="0"/>
                <xsd:element ref="ns3:DocumentStatus" minOccurs="0"/>
                <xsd:element ref="ns3:_Flow_SignoffStatus" minOccurs="0"/>
                <xsd:element ref="ns3:MediaServiceSearchProperties" minOccurs="0"/>
                <xsd:element ref="ns3:Doesthisfilerequirearetentionlabel_x0028_record_x0029__x003f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AEFSecurityClassificationTaxHTField0" ma:index="11" nillable="true" ma:displayName="Security Classification_0" ma:hidden="true" ma:internalName="SAEFSecurityClassificationTaxHTField0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967b74-b8ae-48af-95c4-a231130ffdb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ice2f7984e9548f9a31773f854109466" ma:index="12" ma:taxonomy="true" ma:internalName="ice2f7984e9548f9a31773f854109466" ma:taxonomyFieldName="SAEFSecurityClassification" ma:displayName="Security Classification" ma:default="1;#Confidential|e4bc29b2-6e76-48cc-b090-8b544c0802ae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3" nillable="true" ma:displayName="Taxonomy Catch All Column" ma:hidden="true" ma:list="{1383c4a7-9ea0-4e1a-8aa1-f0c0fb196275}" ma:internalName="TaxCatchAll" ma:showField="CatchAllData" ma:web="40967b74-b8ae-48af-95c4-a231130ffd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4" nillable="true" ma:displayName="Taxonomy Catch All Column1" ma:hidden="true" ma:list="{1383c4a7-9ea0-4e1a-8aa1-f0c0fb196275}" ma:internalName="TaxCatchAllLabel" ma:readOnly="true" ma:showField="CatchAllDataLabel" ma:web="40967b74-b8ae-48af-95c4-a231130ffd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e9f60d-9435-401b-929c-2eb0ad2728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e3aebf70-341c-4d91-bdd3-aba9df3616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ocumentStatus" ma:index="29" nillable="true" ma:displayName="Document Status" ma:format="Dropdown" ma:internalName="DocumentStatus">
      <xsd:simpleType>
        <xsd:restriction base="dms:Choice">
          <xsd:enumeration value="Final"/>
          <xsd:enumeration value="Choice 2"/>
          <xsd:enumeration value="Choice 3"/>
        </xsd:restriction>
      </xsd:simpleType>
    </xsd:element>
    <xsd:element name="_Flow_SignoffStatus" ma:index="30" nillable="true" ma:displayName="Sign-off status" ma:internalName="Sign_x002d_off_x0020_status">
      <xsd:simpleType>
        <xsd:restriction base="dms:Text"/>
      </xsd:simpleType>
    </xsd:element>
    <xsd:element name="MediaServiceSearchProperties" ma:index="3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Doesthisfilerequirearetentionlabel_x0028_record_x0029__x003f_" ma:index="32" nillable="true" ma:displayName="Does this file require a retention label (record)?" ma:description="Will you be applying a retention label " ma:format="Dropdown" ma:internalName="Doesthisfilerequirearetentionlabel_x0028_record_x0029__x003f_">
      <xsd:simpleType>
        <xsd:restriction base="dms:Choice">
          <xsd:enumeration value="TBA"/>
          <xsd:enumeration value="Yes"/>
          <xsd:enumeration value="No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967b74-b8ae-48af-95c4-a231130ffdb3">5YUSMZVV74JC-1303586848-466467</_dlc_DocId>
    <_dlc_DocIdUrl xmlns="40967b74-b8ae-48af-95c4-a231130ffdb3">
      <Url>https://eu001-sp.shell.com/sites/SPO002200/_layouts/15/DocIdRedir.aspx?ID=5YUSMZVV74JC-1303586848-466467</Url>
      <Description>5YUSMZVV74JC-1303586848-466467</Description>
    </_dlc_DocIdUrl>
    <ice2f7984e9548f9a31773f854109466 xmlns="40967b74-b8ae-48af-95c4-a231130ffdb3">
      <Terms xmlns="http://schemas.microsoft.com/office/infopath/2007/PartnerControls">
        <TermInfo xmlns="http://schemas.microsoft.com/office/infopath/2007/PartnerControls">
          <TermName xmlns="http://schemas.microsoft.com/office/infopath/2007/PartnerControls">Confidential</TermName>
          <TermId xmlns="http://schemas.microsoft.com/office/infopath/2007/PartnerControls">e4bc29b2-6e76-48cc-b090-8b544c0802ae</TermId>
        </TermInfo>
      </Terms>
    </ice2f7984e9548f9a31773f854109466>
    <TaxCatchAll xmlns="40967b74-b8ae-48af-95c4-a231130ffdb3">
      <Value>1</Value>
    </TaxCatchAll>
    <SAEFSecurityClassificationTaxHTField0 xmlns="http://schemas.microsoft.com/sharepoint/v3" xsi:nil="true"/>
    <lcf76f155ced4ddcb4097134ff3c332f xmlns="88e9f60d-9435-401b-929c-2eb0ad27286d">
      <Terms xmlns="http://schemas.microsoft.com/office/infopath/2007/PartnerControls"/>
    </lcf76f155ced4ddcb4097134ff3c332f>
    <DocumentStatus xmlns="88e9f60d-9435-401b-929c-2eb0ad27286d" xsi:nil="true"/>
    <_Flow_SignoffStatus xmlns="88e9f60d-9435-401b-929c-2eb0ad27286d" xsi:nil="true"/>
    <Doesthisfilerequirearetentionlabel_x0028_record_x0029__x003f_ xmlns="88e9f60d-9435-401b-929c-2eb0ad27286d" xsi:nil="true"/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8709ED59-6885-441B-A2F4-611C958ACD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24EC3DE-FDCD-4431-9300-C661E603B4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967b74-b8ae-48af-95c4-a231130ffdb3"/>
    <ds:schemaRef ds:uri="88e9f60d-9435-401b-929c-2eb0ad2728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D2ABB9-0AAC-4C0D-A847-FF2FBCD0B9FC}">
  <ds:schemaRefs>
    <ds:schemaRef ds:uri="http://www.w3.org/XML/1998/namespace"/>
    <ds:schemaRef ds:uri="http://purl.org/dc/terms/"/>
    <ds:schemaRef ds:uri="63c6ed21-9bd9-403f-b5fb-c76bc30e2e93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40967b74-b8ae-48af-95c4-a231130ffdb3"/>
    <ds:schemaRef ds:uri="http://schemas.microsoft.com/sharepoint/v3"/>
    <ds:schemaRef ds:uri="88e9f60d-9435-401b-929c-2eb0ad27286d"/>
  </ds:schemaRefs>
</ds:datastoreItem>
</file>

<file path=customXml/itemProps4.xml><?xml version="1.0" encoding="utf-8"?>
<ds:datastoreItem xmlns:ds="http://schemas.openxmlformats.org/officeDocument/2006/customXml" ds:itemID="{5948D82E-674A-48B5-8873-57FA64B2482D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Textsplit</vt:lpstr>
      <vt:lpstr>Ready to paste</vt:lpstr>
      <vt:lpstr>exten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Abdullah Shrif</dc:creator>
  <cp:keywords/>
  <dc:description/>
  <cp:lastModifiedBy>Justo, Elena SEOPS-IGN/A</cp:lastModifiedBy>
  <cp:revision/>
  <dcterms:created xsi:type="dcterms:W3CDTF">2015-06-05T18:17:20Z</dcterms:created>
  <dcterms:modified xsi:type="dcterms:W3CDTF">2024-08-23T04:21:36Z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99ad20-371c-4378-a9a7-0fe05354b408_Enabled">
    <vt:lpwstr>true</vt:lpwstr>
  </property>
  <property fmtid="{D5CDD505-2E9C-101B-9397-08002B2CF9AE}" pid="3" name="MSIP_Label_7399ad20-371c-4378-a9a7-0fe05354b408_SetDate">
    <vt:lpwstr>2022-05-02T07:07:47Z</vt:lpwstr>
  </property>
  <property fmtid="{D5CDD505-2E9C-101B-9397-08002B2CF9AE}" pid="4" name="MSIP_Label_7399ad20-371c-4378-a9a7-0fe05354b408_Method">
    <vt:lpwstr>Privileged</vt:lpwstr>
  </property>
  <property fmtid="{D5CDD505-2E9C-101B-9397-08002B2CF9AE}" pid="5" name="MSIP_Label_7399ad20-371c-4378-a9a7-0fe05354b408_Name">
    <vt:lpwstr>Confidential</vt:lpwstr>
  </property>
  <property fmtid="{D5CDD505-2E9C-101B-9397-08002B2CF9AE}" pid="6" name="MSIP_Label_7399ad20-371c-4378-a9a7-0fe05354b408_SiteId">
    <vt:lpwstr>6c2394f5-1b5e-4661-8ad9-428f7419765e</vt:lpwstr>
  </property>
  <property fmtid="{D5CDD505-2E9C-101B-9397-08002B2CF9AE}" pid="7" name="MSIP_Label_7399ad20-371c-4378-a9a7-0fe05354b408_ActionId">
    <vt:lpwstr>88634fca-5aec-4fc8-8c41-2ba8692cb423</vt:lpwstr>
  </property>
  <property fmtid="{D5CDD505-2E9C-101B-9397-08002B2CF9AE}" pid="8" name="MSIP_Label_7399ad20-371c-4378-a9a7-0fe05354b408_ContentBits">
    <vt:lpwstr>2</vt:lpwstr>
  </property>
  <property fmtid="{D5CDD505-2E9C-101B-9397-08002B2CF9AE}" pid="9" name="ContentTypeId">
    <vt:lpwstr>0x0101006F0A470EEB1140E7AA14F4CE8A50B54C0001CB1477F4DD432AA86DD56CC3887AF400893E50A8C8151B4CA94963114C7889C5</vt:lpwstr>
  </property>
  <property fmtid="{D5CDD505-2E9C-101B-9397-08002B2CF9AE}" pid="10" name="TaxCatchAll">
    <vt:lpwstr>1;#Confidential</vt:lpwstr>
  </property>
  <property fmtid="{D5CDD505-2E9C-101B-9397-08002B2CF9AE}" pid="11" name="ice2f7984e9548f9a31773f854109466">
    <vt:lpwstr>Confidential|e4bc29b2-6e76-48cc-b090-8b544c0802ae</vt:lpwstr>
  </property>
  <property fmtid="{D5CDD505-2E9C-101B-9397-08002B2CF9AE}" pid="12" name="_dlc_DocIdItemGuid">
    <vt:lpwstr>caa7c135-a5c4-4522-9454-dd17ec10531b</vt:lpwstr>
  </property>
  <property fmtid="{D5CDD505-2E9C-101B-9397-08002B2CF9AE}" pid="13" name="Original_CreatedBy">
    <vt:lpwstr/>
  </property>
  <property fmtid="{D5CDD505-2E9C-101B-9397-08002B2CF9AE}" pid="14" name="Original_Path">
    <vt:lpwstr>O:\ESOL\Internal - Engineering\WPC Tools\Bulk File Renamer\Bulk File Renamer v2.1.xlsm</vt:lpwstr>
  </property>
  <property fmtid="{D5CDD505-2E9C-101B-9397-08002B2CF9AE}" pid="15" name="MediaServiceImageTags">
    <vt:lpwstr/>
  </property>
  <property fmtid="{D5CDD505-2E9C-101B-9397-08002B2CF9AE}" pid="16" name="SAEFSecurityClassification">
    <vt:lpwstr>1;#Confidential|e4bc29b2-6e76-48cc-b090-8b544c0802ae</vt:lpwstr>
  </property>
  <property fmtid="{D5CDD505-2E9C-101B-9397-08002B2CF9AE}" pid="17" name="_ExtendedDescription">
    <vt:lpwstr/>
  </property>
  <property fmtid="{D5CDD505-2E9C-101B-9397-08002B2CF9AE}" pid="18" name="Original_ModifiedBy">
    <vt:lpwstr/>
  </property>
  <property fmtid="{D5CDD505-2E9C-101B-9397-08002B2CF9AE}" pid="19" name="Original_Title">
    <vt:lpwstr/>
  </property>
</Properties>
</file>